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ollup" sheetId="1" state="visible" r:id="rId3"/>
    <sheet name="START HERE" sheetId="2" state="visible" r:id="rId4"/>
    <sheet name="Settings" sheetId="3" state="visible" r:id="rId5"/>
    <sheet name="Consolidated" sheetId="4" state="visible" r:id="rId6"/>
    <sheet name="Ref Voice" sheetId="5" state="visible" r:id="rId7"/>
    <sheet name="Ref AM Voice IDs" sheetId="6" state="visible" r:id="rId8"/>
    <sheet name="Ref Card Hours" sheetId="7" state="visible" r:id="rId9"/>
    <sheet name="Ref Branch Strategy" sheetId="8" state="visible" r:id="rId10"/>
    <sheet name="Ref Blitz Rules" sheetId="9" state="visible" r:id="rId11"/>
    <sheet name="RollupData" sheetId="10" state="hidden" r:id="rId12"/>
  </sheets>
  <definedNames>
    <definedName function="false" hidden="false" name="IntakeMonth" vbProcedure="false">Settings!$C$4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<sst xmlns="http://schemas.openxmlformats.org/spreadsheetml/2006/main" count="4074" uniqueCount="245">
  <si>
    <t xml:space="preserve">GOOD MORNING!!!   —   Today's Call Delivery Strategy</t>
  </si>
  <si>
    <t xml:space="preserve">ALL TIMES EASTERN.   Changes are communicated through the day — reach your Point of Contact via the Teams channel or email Call Delivery Systems.</t>
  </si>
  <si>
    <t xml:space="preserve">Strategy Date:</t>
  </si>
  <si>
    <t xml:space="preserve">Auto-Messaging Voice:</t>
  </si>
  <si>
    <t xml:space="preserve">Yellow cells are yours: set the date (or type =TODAY() for live use) and the voice for the day.</t>
  </si>
  <si>
    <t xml:space="preserve">Business Group</t>
  </si>
  <si>
    <t xml:space="preserve">Passes</t>
  </si>
  <si>
    <t xml:space="preserve">Special Instructions</t>
  </si>
  <si>
    <t xml:space="preserve">FE</t>
  </si>
  <si>
    <t xml:space="preserve">BE</t>
  </si>
  <si>
    <t xml:space="preserve">PCO</t>
  </si>
  <si>
    <t xml:space="preserve">Auto</t>
  </si>
  <si>
    <t xml:space="preserve">Repo</t>
  </si>
  <si>
    <t xml:space="preserve">MOD</t>
  </si>
  <si>
    <t xml:space="preserve">Branch Central</t>
  </si>
  <si>
    <t xml:space="preserve">Branch Vendor</t>
  </si>
  <si>
    <t xml:space="preserve">Card</t>
  </si>
  <si>
    <t xml:space="preserve">ARC</t>
  </si>
  <si>
    <t xml:space="preserve">Optional Products</t>
  </si>
  <si>
    <t xml:space="preserve">Call Escalation Team</t>
  </si>
  <si>
    <t xml:space="preserve">Legend:</t>
  </si>
  <si>
    <t xml:space="preserve">AMs (auto-msg)</t>
  </si>
  <si>
    <t xml:space="preserve">Branch</t>
  </si>
  <si>
    <t xml:space="preserve">WFO</t>
  </si>
  <si>
    <t xml:space="preserve">Blitz</t>
  </si>
  <si>
    <t xml:space="preserve">TSC</t>
  </si>
  <si>
    <t xml:space="preserve">Vendor</t>
  </si>
  <si>
    <t xml:space="preserve">CD TEAM COVERAGE  (fill from the Assignments workbook)</t>
  </si>
  <si>
    <t xml:space="preserve">HOURS OF OPERATION</t>
  </si>
  <si>
    <t xml:space="preserve">Area</t>
  </si>
  <si>
    <t xml:space="preserve">AM</t>
  </si>
  <si>
    <t xml:space="preserve">Mid-Day</t>
  </si>
  <si>
    <t xml:space="preserve">PM</t>
  </si>
  <si>
    <t xml:space="preserve">Groups</t>
  </si>
  <si>
    <t xml:space="preserve">Open</t>
  </si>
  <si>
    <t xml:space="preserve">Close</t>
  </si>
  <si>
    <t xml:space="preserve">Central Collections</t>
  </si>
  <si>
    <t xml:space="preserve">Card Collections</t>
  </si>
  <si>
    <t xml:space="preserve">40 / 80</t>
  </si>
  <si>
    <t xml:space="preserve">Inbound (Sales / Care)</t>
  </si>
  <si>
    <t xml:space="preserve">37 / 77</t>
  </si>
  <si>
    <t xml:space="preserve">8:00 AM</t>
  </si>
  <si>
    <t xml:space="preserve">5:00 PM</t>
  </si>
  <si>
    <t xml:space="preserve">130 / 131</t>
  </si>
  <si>
    <t xml:space="preserve">6:00 PM</t>
  </si>
  <si>
    <t xml:space="preserve">Escalations / NICE</t>
  </si>
  <si>
    <t xml:space="preserve">This page rebuilds itself from the Consolidated tab — refresh the import, pick a date, and it's ready to send. No cross-sheet formula web, nothing to break.</t>
  </si>
  <si>
    <t xml:space="preserve">CALL DELIVERY — MASTER WORKBOOK</t>
  </si>
  <si>
    <t xml:space="preserve">One refresh pulls every business group's schedule out of the shared Intake folder.</t>
  </si>
  <si>
    <t xml:space="preserve">DAILY USE (after one-time setup)</t>
  </si>
  <si>
    <t xml:space="preserve">    1.  Open this workbook.</t>
  </si>
  <si>
    <t xml:space="preserve">    2.  Data → Refresh All.</t>
  </si>
  <si>
    <t xml:space="preserve">    3.  Done — the Consolidated tab now holds every group's current schedule.</t>
  </si>
  <si>
    <t xml:space="preserve">ONE-TIME SETUP (about 5 minutes)</t>
  </si>
  <si>
    <t xml:space="preserve">    1.  Give each group its own folder under the shared Intake root; files are named by month:</t>
  </si>
  <si>
    <t xml:space="preserve">            \\CallDelivery\Intake\FE\2026-08.xlsx      \Intake\Card\2026-08.xlsx  ...</t>
  </si>
  <si>
    <t xml:space="preserve">        Grant each group write access to THEIR folder only - nobody can touch another group's schedule.</t>
  </si>
  <si>
    <t xml:space="preserve">    2.  On the Settings tab set the Intake root (C3) and the month to load (C4 - the IntakeMonth named range).</t>
  </si>
  <si>
    <t xml:space="preserve">    3.  Data → Get Data → Launch Power Query Editor → New Source → Blank Query.</t>
  </si>
  <si>
    <t xml:space="preserve">    4.  Open Advanced Editor, paste the query from the process guide - it reads every group</t>
  </si>
  <si>
    <t xml:space="preserve">        subfolder automatically and filters to the IntakeMonth cell, so the path never changes.</t>
  </si>
  <si>
    <t xml:space="preserve">        (docs/Call_Delivery_Intake_Process_Guide.docx), set FolderPath, Close &amp; Load.</t>
  </si>
  <si>
    <t xml:space="preserve">    5.  Load the query to the Consolidated tab, replacing the sample table there.</t>
  </si>
  <si>
    <t xml:space="preserve">WHAT'S IN THIS WORKBOOK</t>
  </si>
  <si>
    <t xml:space="preserve">    •  Settings ......... the intake folder path and current month.</t>
  </si>
  <si>
    <t xml:space="preserve">    •  Consolidated ..... every group's schedule in one table.  Currently pre-loaded with a</t>
  </si>
  <si>
    <t xml:space="preserve">                          REAL sample: all 655 July passes converted from the old workbook,</t>
  </si>
  <si>
    <t xml:space="preserve">                          so you can see exactly what a refresh produces.</t>
  </si>
  <si>
    <t xml:space="preserve">WHY THIS REPLACES THE OLD TAB-PER-GROUP DESIGN</t>
  </si>
  <si>
    <t xml:space="preserve">    The old master pulled each group's 'today' row through cross-sheet formulas, which is why</t>
  </si>
  <si>
    <t xml:space="preserve">    it accumulated 219 broken-reference errors, one dead group (Auto), and an external-workbook link.</t>
  </si>
  <si>
    <t xml:space="preserve">    Here, data arrives by import, not by formula — deleting or renaming a group's file can</t>
  </si>
  <si>
    <t xml:space="preserve">    never break another group or the rollup.</t>
  </si>
  <si>
    <t xml:space="preserve">Setting</t>
  </si>
  <si>
    <t xml:space="preserve">Value</t>
  </si>
  <si>
    <t xml:space="preserve">Intake root (IntakeRoot in the query)</t>
  </si>
  <si>
    <t xml:space="preserve">\\CallDelivery\Intake</t>
  </si>
  <si>
    <t xml:space="preserve">New month = change C4 + Refresh All. The query reads C4 through the IntakeMonth named range and loads every group folder's matching file.</t>
  </si>
  <si>
    <t xml:space="preserve">Month to load (IntakeMonth)</t>
  </si>
  <si>
    <t xml:space="preserve">2026-07</t>
  </si>
  <si>
    <t xml:space="preserve">CONSOLIDATED SCHEDULE  —  sample pre-load (this becomes the Power Query output)</t>
  </si>
  <si>
    <t xml:space="preserve">Date</t>
  </si>
  <si>
    <t xml:space="preserve">Start Time (ET)</t>
  </si>
  <si>
    <t xml:space="preserve">Timezone Wave</t>
  </si>
  <si>
    <t xml:space="preserve">List ID / Campaign</t>
  </si>
  <si>
    <t xml:space="preserve">Priority</t>
  </si>
  <si>
    <t xml:space="preserve">Segment / Tag</t>
  </si>
  <si>
    <t xml:space="preserve">Source File</t>
  </si>
  <si>
    <t xml:space="preserve">N/A</t>
  </si>
  <si>
    <t xml:space="preserve">NCs</t>
  </si>
  <si>
    <t xml:space="preserve">Preplacement / Strat 2</t>
  </si>
  <si>
    <t xml:space="preserve">ARC\2026-07.xlsx</t>
  </si>
  <si>
    <t xml:space="preserve">All</t>
  </si>
  <si>
    <t xml:space="preserve">E</t>
  </si>
  <si>
    <t xml:space="preserve">AMs</t>
  </si>
  <si>
    <t xml:space="preserve">Slowpay AM Daily</t>
  </si>
  <si>
    <t xml:space="preserve">Auto\2026-07.xlsx</t>
  </si>
  <si>
    <t xml:space="preserve">C-M-P</t>
  </si>
  <si>
    <t xml:space="preserve">TSC (All)</t>
  </si>
  <si>
    <t xml:space="preserve">E-C-M</t>
  </si>
  <si>
    <t xml:space="preserve">BE\2026-07.xlsx</t>
  </si>
  <si>
    <t xml:space="preserve">P</t>
  </si>
  <si>
    <t xml:space="preserve">E-C</t>
  </si>
  <si>
    <t xml:space="preserve">1s &amp; Slow</t>
  </si>
  <si>
    <t xml:space="preserve">Branch_Central\2026-07.xlsx</t>
  </si>
  <si>
    <t xml:space="preserve">Card\2026-07.xlsx</t>
  </si>
  <si>
    <t xml:space="preserve">ASAP</t>
  </si>
  <si>
    <t xml:space="preserve">FE\2026-07.xlsx</t>
  </si>
  <si>
    <t xml:space="preserve">C</t>
  </si>
  <si>
    <t xml:space="preserve">M-P</t>
  </si>
  <si>
    <t xml:space="preserve">Second</t>
  </si>
  <si>
    <t xml:space="preserve">Priority Order: Second</t>
  </si>
  <si>
    <t xml:space="preserve">Optional_Products\2026-07.xlsx</t>
  </si>
  <si>
    <t xml:space="preserve">RP</t>
  </si>
  <si>
    <t xml:space="preserve">AM Daily</t>
  </si>
  <si>
    <t xml:space="preserve">Repo\2026-07.xlsx</t>
  </si>
  <si>
    <t xml:space="preserve">Broken Promise / Recent Pay / Dialer Only</t>
  </si>
  <si>
    <t xml:space="preserve">Third</t>
  </si>
  <si>
    <t xml:space="preserve">Priority Order: Third</t>
  </si>
  <si>
    <t xml:space="preserve">Independence Day (Observed)</t>
  </si>
  <si>
    <t xml:space="preserve">Branch_Vendor\2026-07.xlsx</t>
  </si>
  <si>
    <t xml:space="preserve">Constant</t>
  </si>
  <si>
    <t xml:space="preserve">Hit Priority  / Strat 7 / APP</t>
  </si>
  <si>
    <t xml:space="preserve">2Pay E-C</t>
  </si>
  <si>
    <t xml:space="preserve">2Pay M-P</t>
  </si>
  <si>
    <t xml:space="preserve">PCO\2026-07.xlsx</t>
  </si>
  <si>
    <t xml:space="preserve">Hit List / APP</t>
  </si>
  <si>
    <t xml:space="preserve">2Pay (NCs</t>
  </si>
  <si>
    <t xml:space="preserve">Second/Third</t>
  </si>
  <si>
    <t xml:space="preserve">Priority Order: Second/Third</t>
  </si>
  <si>
    <t xml:space="preserve">Third/First</t>
  </si>
  <si>
    <t xml:space="preserve">Priority Order: Third/First</t>
  </si>
  <si>
    <t xml:space="preserve">First</t>
  </si>
  <si>
    <t xml:space="preserve">Priority Order: First</t>
  </si>
  <si>
    <t xml:space="preserve">Preview (10 seconds)</t>
  </si>
  <si>
    <t xml:space="preserve">MOD\2026-07.xlsx</t>
  </si>
  <si>
    <t xml:space="preserve">Slow</t>
  </si>
  <si>
    <t xml:space="preserve">BR SLOWS ONLY</t>
  </si>
  <si>
    <t xml:space="preserve">AUTO-MESSAGING VOICE — daily calendar (Daily Rollup reads this)</t>
  </si>
  <si>
    <t xml:space="preserve">Voice</t>
  </si>
  <si>
    <t xml:space="preserve">Female</t>
  </si>
  <si>
    <t xml:space="preserve">Male</t>
  </si>
  <si>
    <t xml:space="preserve">AUTO-MESSAGE CAMPAIGN &amp; VOICE IDs</t>
  </si>
  <si>
    <t xml:space="preserve">Campaign</t>
  </si>
  <si>
    <t xml:space="preserve">Lists</t>
  </si>
  <si>
    <t xml:space="preserve">Female ID</t>
  </si>
  <si>
    <t xml:space="preserve">Male ID</t>
  </si>
  <si>
    <t xml:space="preserve">APP/AUTO</t>
  </si>
  <si>
    <t xml:space="preserve">ADAN,ADAO,ADAR</t>
  </si>
  <si>
    <t xml:space="preserve">FEAO,FEAR</t>
  </si>
  <si>
    <t xml:space="preserve">BEAO,BEAR</t>
  </si>
  <si>
    <t xml:space="preserve">PCAO,PCAR</t>
  </si>
  <si>
    <t xml:space="preserve">REPO (PRC &amp; RP)</t>
  </si>
  <si>
    <t xml:space="preserve">REAO, REAH</t>
  </si>
  <si>
    <t xml:space="preserve">CARD</t>
  </si>
  <si>
    <t xml:space="preserve">BWAO, BWAR</t>
  </si>
  <si>
    <t xml:space="preserve">SALES NCC/APPS</t>
  </si>
  <si>
    <t xml:space="preserve">NCAO, NCAH</t>
  </si>
  <si>
    <t xml:space="preserve">SALES AH </t>
  </si>
  <si>
    <t xml:space="preserve">LDA3, LDA4</t>
  </si>
  <si>
    <t xml:space="preserve">UNC APPS/PC LEADS</t>
  </si>
  <si>
    <t xml:space="preserve">SAMO, SAMR</t>
  </si>
  <si>
    <t xml:space="preserve">CARD HOURS — daily open/close (Daily Rollup reads this)</t>
  </si>
  <si>
    <t xml:space="preserve">Week</t>
  </si>
  <si>
    <t xml:space="preserve">8:00am</t>
  </si>
  <si>
    <t xml:space="preserve">10:00pm</t>
  </si>
  <si>
    <t xml:space="preserve">Week 1</t>
  </si>
  <si>
    <t xml:space="preserve">8:00pm</t>
  </si>
  <si>
    <t xml:space="preserve">9:00am</t>
  </si>
  <si>
    <t xml:space="preserve">Week 2</t>
  </si>
  <si>
    <t xml:space="preserve">7:00a</t>
  </si>
  <si>
    <t xml:space="preserve">BRANCH STANDING STRATEGY — weekly list priorities (1Pay &amp; 2Pay)</t>
  </si>
  <si>
    <t xml:space="preserve">1PAY BRANCH STRATEGY</t>
  </si>
  <si>
    <t xml:space="preserve">Monday</t>
  </si>
  <si>
    <t xml:space="preserve">Mid-Day (11:30am CST) </t>
  </si>
  <si>
    <t xml:space="preserve">Vendor After Hours (5pm CST) </t>
  </si>
  <si>
    <t xml:space="preserve">LIST ID</t>
  </si>
  <si>
    <t xml:space="preserve">Priority </t>
  </si>
  <si>
    <t xml:space="preserve">TZ </t>
  </si>
  <si>
    <t xml:space="preserve">Desc</t>
  </si>
  <si>
    <t xml:space="preserve">Time Zone</t>
  </si>
  <si>
    <t xml:space="preserve">BR_CAP_CONS_LB</t>
  </si>
  <si>
    <t xml:space="preserve">1Pay Capacity Constrained below $7500</t>
  </si>
  <si>
    <t xml:space="preserve">BR_CAP_CONS_SLOW_LB</t>
  </si>
  <si>
    <t xml:space="preserve">Slow Pay Capacity Constrained below $7500</t>
  </si>
  <si>
    <t xml:space="preserve">BR_ADHOC_HB</t>
  </si>
  <si>
    <t xml:space="preserve">Branch requested support</t>
  </si>
  <si>
    <t xml:space="preserve">BR_CAP_CONS_SLOW_HB</t>
  </si>
  <si>
    <t xml:space="preserve">Slow Pay Capacity Constrained above $7500</t>
  </si>
  <si>
    <t xml:space="preserve">BR_ADHOC_LB</t>
  </si>
  <si>
    <t xml:space="preserve">BR_CAP_CONS_HB</t>
  </si>
  <si>
    <t xml:space="preserve">1Pay Capacity Constrained above $7500</t>
  </si>
  <si>
    <t xml:space="preserve">BR_1PAY_HB</t>
  </si>
  <si>
    <t xml:space="preserve">1Pay above $7500 outside of cap constrained (remaining branches) </t>
  </si>
  <si>
    <t xml:space="preserve">BR_1PAY_LB</t>
  </si>
  <si>
    <t xml:space="preserve">1Pay below $7500 outside of cap constrained (remaining branches)</t>
  </si>
  <si>
    <t xml:space="preserve">BR_SLOW_HB</t>
  </si>
  <si>
    <t xml:space="preserve">Slow Pay above $7500 outside of cap constrained (remaining branches) </t>
  </si>
  <si>
    <t xml:space="preserve">BR_SLOW_LB</t>
  </si>
  <si>
    <t xml:space="preserve">Slow Pay below $7500 outside of cap constrained (remaining branches) 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</si>
  <si>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</si>
  <si>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</si>
  <si>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</si>
  <si>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</si>
  <si>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</si>
  <si>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All Day</t>
  </si>
  <si>
    <t xml:space="preserve">Sunday</t>
  </si>
  <si>
    <t xml:space="preserve">2PAY BRANCH STRATEGY</t>
  </si>
  <si>
    <t xml:space="preserve">9am EST</t>
  </si>
  <si>
    <t xml:space="preserve">11am EST </t>
  </si>
  <si>
    <t xml:space="preserve">BR_2PAY</t>
  </si>
  <si>
    <t xml:space="preserve">EST</t>
  </si>
  <si>
    <t xml:space="preserve">Branch 2 Pay </t>
  </si>
  <si>
    <t xml:space="preserve">MST</t>
  </si>
  <si>
    <t xml:space="preserve">CST</t>
  </si>
  <si>
    <t xml:space="preserve">PST</t>
  </si>
  <si>
    <t xml:space="preserve">6pm EST</t>
  </si>
  <si>
    <t xml:space="preserve">Branch 2 Pay (Except 4/1/2026)</t>
  </si>
  <si>
    <t xml:space="preserve">Branch 2 Pay (4/1/2026 only) </t>
  </si>
  <si>
    <t xml:space="preserve">2pm EST</t>
  </si>
  <si>
    <t xml:space="preserve">Branch 2 Pay  </t>
  </si>
  <si>
    <t xml:space="preserve">BLITZ STANDING RULES — windows, recall time, designated lists</t>
  </si>
  <si>
    <t xml:space="preserve">30 min recall time after ALL 1st attempts</t>
  </si>
  <si>
    <t xml:space="preserve">Groups 14 / 54</t>
  </si>
  <si>
    <t xml:space="preserve">Groups 12 / 52</t>
  </si>
  <si>
    <t xml:space="preserve">M-F Evening</t>
  </si>
  <si>
    <t xml:space="preserve">5p - 7p EST</t>
  </si>
  <si>
    <t xml:space="preserve">All Central Population of Slows - 1Pay</t>
  </si>
  <si>
    <t xml:space="preserve">All Central Population of 3Pay - PCO</t>
  </si>
  <si>
    <t xml:space="preserve">Adhoc</t>
  </si>
  <si>
    <t xml:space="preserve">AdHoc</t>
  </si>
  <si>
    <t xml:space="preserve">All Auto Direct</t>
  </si>
  <si>
    <t xml:space="preserve">(All Branch accounts are called by Vendor)</t>
  </si>
  <si>
    <t xml:space="preserve">Designated 2Pay</t>
  </si>
  <si>
    <t xml:space="preserve">4p - 6p EST</t>
  </si>
  <si>
    <t xml:space="preserve">Saturday AM</t>
  </si>
  <si>
    <t xml:space="preserve">10a - 12p</t>
  </si>
  <si>
    <t xml:space="preserve">All Central Population of 2Pay</t>
  </si>
  <si>
    <t xml:space="preserve">All Auto Direct FE</t>
  </si>
  <si>
    <t xml:space="preserve">(All Central Slow &amp; 1Pay dialed in passes outside of Blitz)</t>
  </si>
  <si>
    <t xml:space="preserve">Per-date blitz calendars live in each group's intake file (FE/BE notes panel).</t>
  </si>
  <si>
    <t xml:space="preserve">key grp|date|hour</t>
  </si>
  <si>
    <t xml:space="preserve">display</t>
  </si>
  <si>
    <t xml:space="preserve">key grp|date</t>
  </si>
  <si>
    <t xml:space="preserve">note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</si>
</sst>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mm/dd/yyyy"/>
    <numFmt numFmtId="166" formatCode="h\ AM/PM"/>
    <numFmt numFmtId="167" formatCode="General"/>
    <numFmt numFmtId="168" formatCode="mm/dd/yyyy"/>
    <numFmt numFmtId="169" formatCode="h:mm\ AM/PM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8"/>
      <name val="Arial"/>
      <family val="0"/>
      <charset val="1"/>
    </font>
    <font>
      <i val="true"/>
      <sz val="9"/>
      <color rgb="FF1B4D3E"/>
      <name val="Arial"/>
      <family val="0"/>
      <charset val="1"/>
    </font>
    <font>
      <b val="true"/>
      <sz val="9"/>
      <color rgb="FF1F2A44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6"/>
      <color rgb="FFFFFFFF"/>
      <name val="Cambria"/>
      <family val="0"/>
      <charset val="1"/>
    </font>
    <font>
      <sz val="10.5"/>
      <name val="Cambria"/>
      <family val="0"/>
      <charset val="1"/>
    </font>
    <font>
      <b val="true"/>
      <sz val="12"/>
      <color rgb="FF2E5AAC"/>
      <name val="Cambria"/>
      <family val="0"/>
      <charset val="1"/>
    </font>
    <font>
      <sz val="10"/>
      <color rgb="FF1B4D3E"/>
      <name val="Consolas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2A44"/>
      <name val="Cambria"/>
      <family val="0"/>
      <charset val="1"/>
    </font>
    <font>
      <sz val="10"/>
      <name val="Consolas"/>
      <family val="0"/>
      <charset val="1"/>
    </font>
    <font>
      <i val="true"/>
      <sz val="9"/>
      <color rgb="FF6B728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E5AAC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2A4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333300"/>
      </patternFill>
    </fill>
    <fill>
      <patternFill patternType="solid">
        <fgColor rgb="FFDCE6F7"/>
        <bgColor rgb="FFD8EEF0"/>
      </patternFill>
    </fill>
    <fill>
      <patternFill patternType="solid">
        <fgColor rgb="FFFFF2CC"/>
        <bgColor rgb="FFFDF3D0"/>
      </patternFill>
    </fill>
    <fill>
      <patternFill patternType="solid">
        <fgColor rgb="FF2E5AAC"/>
        <bgColor rgb="FF3366FF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FFFFFF"/>
      </patternFill>
    </fill>
    <fill>
      <patternFill patternType="solid">
        <fgColor rgb="FFDFF0E4"/>
        <bgColor rgb="FFD8EEF0"/>
      </patternFill>
    </fill>
    <fill>
      <patternFill patternType="solid">
        <fgColor rgb="FFD8EEF0"/>
        <bgColor rgb="FFDFF0E4"/>
      </patternFill>
    </fill>
    <fill>
      <patternFill patternType="solid">
        <fgColor rgb="FFFDF3D0"/>
        <bgColor rgb="FFFFF2CC"/>
      </patternFill>
    </fill>
    <fill>
      <patternFill patternType="solid">
        <fgColor rgb="FFEBE3F5"/>
        <bgColor rgb="FFDCE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0D0"/>
      </left>
      <right style="thin">
        <color rgb="FFB8C0D0"/>
      </right>
      <top style="thin">
        <color rgb="FFB8C0D0"/>
      </top>
      <bottom style="thin">
        <color rgb="FFB8C0D0"/>
      </bottom>
      <diagonal/>
    </border>
    <border diagonalUp="false" diagonalDown="false">
      <left style="thin">
        <color rgb="FFB8C0D0"/>
      </left>
      <right/>
      <top style="thin">
        <color rgb="FFB8C0D0"/>
      </top>
      <bottom style="thin">
        <color rgb="FFB8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DF3D0"/>
        </patternFill>
      </fill>
    </dxf>
    <dxf>
      <fill>
        <patternFill>
          <bgColor rgb="FFEBE3F5"/>
        </patternFill>
      </fill>
    </dxf>
    <dxf>
      <fill>
        <patternFill>
          <bgColor rgb="FFDFF0E4"/>
        </patternFill>
      </fill>
    </dxf>
    <dxf>
      <fill>
        <patternFill>
          <bgColor rgb="FFF2F4F8"/>
        </patternFill>
      </fill>
    </dxf>
    <dxf>
      <fill>
        <patternFill>
          <bgColor rgb="FFD8EEF0"/>
        </patternFill>
      </fill>
    </dxf>
    <dxf>
      <fill>
        <patternFill>
          <bgColor rgb="FFDCE6F7"/>
        </patternFill>
      </fill>
    </dxf>
    <dxf>
      <fill>
        <patternFill patternType="solid">
          <fgColor rgb="FF2E5AA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0D0"/>
      <rgbColor rgb="FF808080"/>
      <rgbColor rgb="FF9999FF"/>
      <rgbColor rgb="FF993366"/>
      <rgbColor rgb="FFFDF3D0"/>
      <rgbColor rgb="FFD8EEF0"/>
      <rgbColor rgb="FF660066"/>
      <rgbColor rgb="FFFF8080"/>
      <rgbColor rgb="FF2E5AAC"/>
      <rgbColor rgb="FFEB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DFF0E4"/>
      <rgbColor rgb="FFFFF2CC"/>
      <rgbColor rgb="FF99CCFF"/>
      <rgbColor rgb="FFFF99CC"/>
      <rgbColor rgb="FFCC99FF"/>
      <rgbColor rgb="FFF2F4F8"/>
      <rgbColor rgb="FF3366FF"/>
      <rgbColor rgb="FF33CCCC"/>
      <rgbColor rgb="FF99CC00"/>
      <rgbColor rgb="FFFFCC00"/>
      <rgbColor rgb="FFC7A008"/>
      <rgbColor rgb="FFFF6600"/>
      <rgbColor rgb="FF6B7280"/>
      <rgbColor rgb="FF969696"/>
      <rgbColor rgb="FF1B4D3E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nsolidated" displayName="tblConsolidated" ref="B4:J821" headerRowCount="1" totalsRowCount="0" totalsRowShown="0">
  <autoFilter ref="B4:J821"/>
  <tableColumns count="9">
    <tableColumn id="1" name="Business Group"/>
    <tableColumn id="2" name="Date"/>
    <tableColumn id="3" name="Start Time (ET)"/>
    <tableColumn id="4" name="Timezone Wave"/>
    <tableColumn id="5" name="List ID / Campaign"/>
    <tableColumn id="6" name="Priority"/>
    <tableColumn id="7" name="Segment / Tag"/>
    <tableColumn id="8" name="Special Instructions"/>
    <tableColumn id="9" name="Source Fi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A008"/>
    <pageSetUpPr fitToPage="false"/>
  </sheetPr>
  <dimension ref="B2:S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7"/>
    <col collapsed="false" customWidth="true" hidden="false" outlineLevel="0" max="17" min="4" style="0" width="11"/>
    <col collapsed="false" customWidth="true" hidden="false" outlineLevel="0" max="18" min="18" style="0" width="30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15" hidden="false" customHeight="false" outlineLevel="0" collapsed="false">
      <c r="B5" s="3" t="s">
        <v>2</v>
      </c>
      <c r="C5" s="4" t="n">
        <v>46220</v>
      </c>
      <c r="E5" s="5" t="s">
        <v>3</v>
      </c>
      <c r="F5" s="5"/>
      <c r="G5" s="6" t="str">
        <f aca="false">IFERROR(INDEX('Ref Voice'!$B$2:$B$40,MATCH($C$5,'Ref Voice'!$A$2:$A$40,0)),"")</f>
        <v>Female</v>
      </c>
      <c r="I5" s="7" t="s">
        <v>4</v>
      </c>
      <c r="J5" s="7"/>
      <c r="K5" s="7"/>
      <c r="L5" s="7"/>
      <c r="M5" s="7"/>
      <c r="N5" s="7"/>
      <c r="O5" s="7"/>
      <c r="P5" s="7"/>
      <c r="Q5" s="7"/>
      <c r="R5" s="7"/>
      <c r="S5" s="7"/>
    </row>
    <row r="7" customFormat="false" ht="19.5" hidden="false" customHeight="true" outlineLevel="0" collapsed="false">
      <c r="B7" s="8" t="s">
        <v>5</v>
      </c>
      <c r="C7" s="9" t="s">
        <v>6</v>
      </c>
      <c r="D7" s="10" t="n">
        <v>0.333333333333333</v>
      </c>
      <c r="E7" s="10" t="n">
        <v>0.375</v>
      </c>
      <c r="F7" s="10" t="n">
        <v>0.416666666666667</v>
      </c>
      <c r="G7" s="10" t="n">
        <v>0.458333333333333</v>
      </c>
      <c r="H7" s="10" t="n">
        <v>0.5</v>
      </c>
      <c r="I7" s="10" t="n">
        <v>0.541666666666667</v>
      </c>
      <c r="J7" s="10" t="n">
        <v>0.583333333333333</v>
      </c>
      <c r="K7" s="10" t="n">
        <v>0.625</v>
      </c>
      <c r="L7" s="10" t="n">
        <v>0.666666666666667</v>
      </c>
      <c r="M7" s="10" t="n">
        <v>0.708333333333333</v>
      </c>
      <c r="N7" s="10" t="n">
        <v>0.75</v>
      </c>
      <c r="O7" s="10" t="n">
        <v>0.791666666666667</v>
      </c>
      <c r="P7" s="10" t="n">
        <v>0.833333333333333</v>
      </c>
      <c r="Q7" s="10" t="n">
        <v>0.875</v>
      </c>
      <c r="R7" s="11" t="s">
        <v>7</v>
      </c>
    </row>
    <row r="8" customFormat="false" ht="30" hidden="false" customHeight="true" outlineLevel="0" collapsed="false">
      <c r="B8" s="12" t="s">
        <v>8</v>
      </c>
      <c r="C8" s="13" t="n">
        <f aca="false">COUNTIFS(Consolidated!$B$5:$B$659,$B8,Consolidated!$C$5:$C$659,$C$5)</f>
        <v>6</v>
      </c>
      <c r="D8" s="14" t="str">
        <f aca="false">IFERROR(INDEX(RollupData!$B$2:$B$656,MATCH($B8&amp;"|"&amp;TEXT($C$5,"yyyymmdd")&amp;"|"&amp;8,RollupData!$A$2:$A$656,0)),"")</f>
        <v>8:30a E AMs</v>
      </c>
      <c r="E8" s="14" t="str">
        <f aca="false">IFERROR(INDEX(RollupData!$B$2:$B$656,MATCH($B8&amp;"|"&amp;TEXT($C$5,"yyyymmdd")&amp;"|"&amp;9,RollupData!$A$2:$A$656,0)),"")</f>
        <v/>
      </c>
      <c r="F8" s="14" t="str">
        <f aca="false">IFERROR(INDEX(RollupData!$B$2:$B$656,MATCH($B8&amp;"|"&amp;TEXT($C$5,"yyyymmdd")&amp;"|"&amp;10,RollupData!$A$2:$A$656,0)),"")</f>
        <v/>
      </c>
      <c r="G8" s="14" t="str">
        <f aca="false">IFERROR(INDEX(RollupData!$B$2:$B$656,MATCH($B8&amp;"|"&amp;TEXT($C$5,"yyyymmdd")&amp;"|"&amp;11,RollupData!$A$2:$A$656,0)),"")</f>
        <v>11:00a C-M-P AMs</v>
      </c>
      <c r="H8" s="14" t="str">
        <f aca="false">IFERROR(INDEX(RollupData!$B$2:$B$656,MATCH($B8&amp;"|"&amp;TEXT($C$5,"yyyymmdd")&amp;"|"&amp;12,RollupData!$A$2:$A$656,0)),"")</f>
        <v>12:30p Branch</v>
      </c>
      <c r="I8" s="14" t="str">
        <f aca="false">IFERROR(INDEX(RollupData!$B$2:$B$656,MATCH($B8&amp;"|"&amp;TEXT($C$5,"yyyymmdd")&amp;"|"&amp;13,RollupData!$A$2:$A$656,0)),"")</f>
        <v>1:30p WFO</v>
      </c>
      <c r="J8" s="14" t="str">
        <f aca="false">IFERROR(INDEX(RollupData!$B$2:$B$656,MATCH($B8&amp;"|"&amp;TEXT($C$5,"yyyymmdd")&amp;"|"&amp;14,RollupData!$A$2:$A$656,0)),"")</f>
        <v/>
      </c>
      <c r="K8" s="14" t="str">
        <f aca="false">IFERROR(INDEX(RollupData!$B$2:$B$656,MATCH($B8&amp;"|"&amp;TEXT($C$5,"yyyymmdd")&amp;"|"&amp;15,RollupData!$A$2:$A$656,0)),"")</f>
        <v/>
      </c>
      <c r="L8" s="14" t="str">
        <f aca="false">IFERROR(INDEX(RollupData!$B$2:$B$656,MATCH($B8&amp;"|"&amp;TEXT($C$5,"yyyymmdd")&amp;"|"&amp;16,RollupData!$A$2:$A$656,0)),"")</f>
        <v/>
      </c>
      <c r="M8" s="14" t="str">
        <f aca="false">IFERROR(INDEX(RollupData!$B$2:$B$656,MATCH($B8&amp;"|"&amp;TEXT($C$5,"yyyymmdd")&amp;"|"&amp;17,RollupData!$A$2:$A$656,0)),"")</f>
        <v>5:00p Blitz</v>
      </c>
      <c r="N8" s="14" t="str">
        <f aca="false">IFERROR(INDEX(RollupData!$B$2:$B$656,MATCH($B8&amp;"|"&amp;TEXT($C$5,"yyyymmdd")&amp;"|"&amp;18,RollupData!$A$2:$A$656,0)),"")</f>
        <v/>
      </c>
      <c r="O8" s="14" t="str">
        <f aca="false">IFERROR(INDEX(RollupData!$B$2:$B$656,MATCH($B8&amp;"|"&amp;TEXT($C$5,"yyyymmdd")&amp;"|"&amp;19,RollupData!$A$2:$A$656,0)),"")</f>
        <v/>
      </c>
      <c r="P8" s="14" t="str">
        <f aca="false">IFERROR(INDEX(RollupData!$B$2:$B$656,MATCH($B8&amp;"|"&amp;TEXT($C$5,"yyyymmdd")&amp;"|"&amp;20,RollupData!$A$2:$A$656,0)),"")</f>
        <v>8:00p TSC (All)</v>
      </c>
      <c r="Q8" s="14" t="str">
        <f aca="false">IFERROR(INDEX(RollupData!$B$2:$B$656,MATCH($B8&amp;"|"&amp;TEXT($C$5,"yyyymmdd")&amp;"|"&amp;21,RollupData!$A$2:$A$656,0)),"")</f>
        <v/>
      </c>
      <c r="R8" s="15" t="str">
        <f aca="false">IFERROR(INDEX(RollupData!$D$2:$D$656,MATCH($B8&amp;"|"&amp;TEXT($C$5,"yyyymmdd"),RollupData!$C$2:$C$656,0)),"")</f>
        <v/>
      </c>
    </row>
    <row r="9" customFormat="false" ht="30" hidden="false" customHeight="true" outlineLevel="0" collapsed="false">
      <c r="B9" s="16" t="s">
        <v>9</v>
      </c>
      <c r="C9" s="13" t="n">
        <f aca="false">COUNTIFS(Consolidated!$B$5:$B$659,$B9,Consolidated!$C$5:$C$659,$C$5)</f>
        <v>5</v>
      </c>
      <c r="D9" s="14" t="str">
        <f aca="false">IFERROR(INDEX(RollupData!$B$2:$B$656,MATCH($B9&amp;"|"&amp;TEXT($C$5,"yyyymmdd")&amp;"|"&amp;8,RollupData!$A$2:$A$656,0)),"")</f>
        <v>8:30a E AMs</v>
      </c>
      <c r="E9" s="14" t="str">
        <f aca="false">IFERROR(INDEX(RollupData!$B$2:$B$656,MATCH($B9&amp;"|"&amp;TEXT($C$5,"yyyymmdd")&amp;"|"&amp;9,RollupData!$A$2:$A$656,0)),"")</f>
        <v/>
      </c>
      <c r="F9" s="14" t="str">
        <f aca="false">IFERROR(INDEX(RollupData!$B$2:$B$656,MATCH($B9&amp;"|"&amp;TEXT($C$5,"yyyymmdd")&amp;"|"&amp;10,RollupData!$A$2:$A$656,0)),"")</f>
        <v/>
      </c>
      <c r="G9" s="14" t="str">
        <f aca="false">IFERROR(INDEX(RollupData!$B$2:$B$656,MATCH($B9&amp;"|"&amp;TEXT($C$5,"yyyymmdd")&amp;"|"&amp;11,RollupData!$A$2:$A$656,0)),"")</f>
        <v>11:00a C-M-P AMs</v>
      </c>
      <c r="H9" s="14" t="str">
        <f aca="false">IFERROR(INDEX(RollupData!$B$2:$B$656,MATCH($B9&amp;"|"&amp;TEXT($C$5,"yyyymmdd")&amp;"|"&amp;12,RollupData!$A$2:$A$656,0)),"")</f>
        <v/>
      </c>
      <c r="I9" s="14" t="str">
        <f aca="false">IFERROR(INDEX(RollupData!$B$2:$B$656,MATCH($B9&amp;"|"&amp;TEXT($C$5,"yyyymmdd")&amp;"|"&amp;13,RollupData!$A$2:$A$656,0)),"")</f>
        <v>1:00p WFO</v>
      </c>
      <c r="J9" s="14" t="str">
        <f aca="false">IFERROR(INDEX(RollupData!$B$2:$B$656,MATCH($B9&amp;"|"&amp;TEXT($C$5,"yyyymmdd")&amp;"|"&amp;14,RollupData!$A$2:$A$656,0)),"")</f>
        <v/>
      </c>
      <c r="K9" s="14" t="str">
        <f aca="false">IFERROR(INDEX(RollupData!$B$2:$B$656,MATCH($B9&amp;"|"&amp;TEXT($C$5,"yyyymmdd")&amp;"|"&amp;15,RollupData!$A$2:$A$656,0)),"")</f>
        <v/>
      </c>
      <c r="L9" s="14" t="str">
        <f aca="false">IFERROR(INDEX(RollupData!$B$2:$B$656,MATCH($B9&amp;"|"&amp;TEXT($C$5,"yyyymmdd")&amp;"|"&amp;16,RollupData!$A$2:$A$656,0)),"")</f>
        <v/>
      </c>
      <c r="M9" s="14" t="str">
        <f aca="false">IFERROR(INDEX(RollupData!$B$2:$B$656,MATCH($B9&amp;"|"&amp;TEXT($C$5,"yyyymmdd")&amp;"|"&amp;17,RollupData!$A$2:$A$656,0)),"")</f>
        <v>5:00p Blitz</v>
      </c>
      <c r="N9" s="14" t="str">
        <f aca="false">IFERROR(INDEX(RollupData!$B$2:$B$656,MATCH($B9&amp;"|"&amp;TEXT($C$5,"yyyymmdd")&amp;"|"&amp;18,RollupData!$A$2:$A$656,0)),"")</f>
        <v/>
      </c>
      <c r="O9" s="14" t="str">
        <f aca="false">IFERROR(INDEX(RollupData!$B$2:$B$656,MATCH($B9&amp;"|"&amp;TEXT($C$5,"yyyymmdd")&amp;"|"&amp;19,RollupData!$A$2:$A$656,0)),"")</f>
        <v/>
      </c>
      <c r="P9" s="14" t="str">
        <f aca="false">IFERROR(INDEX(RollupData!$B$2:$B$656,MATCH($B9&amp;"|"&amp;TEXT($C$5,"yyyymmdd")&amp;"|"&amp;20,RollupData!$A$2:$A$656,0)),"")</f>
        <v>8:00p TSC (All)</v>
      </c>
      <c r="Q9" s="14" t="str">
        <f aca="false">IFERROR(INDEX(RollupData!$B$2:$B$656,MATCH($B9&amp;"|"&amp;TEXT($C$5,"yyyymmdd")&amp;"|"&amp;21,RollupData!$A$2:$A$656,0)),"")</f>
        <v/>
      </c>
      <c r="R9" s="15" t="str">
        <f aca="false">IFERROR(INDEX(RollupData!$D$2:$D$656,MATCH($B9&amp;"|"&amp;TEXT($C$5,"yyyymmdd"),RollupData!$C$2:$C$656,0)),"")</f>
        <v/>
      </c>
    </row>
    <row r="10" customFormat="false" ht="30" hidden="false" customHeight="true" outlineLevel="0" collapsed="false">
      <c r="B10" s="12" t="s">
        <v>10</v>
      </c>
      <c r="C10" s="13" t="n">
        <f aca="false">COUNTIFS(Consolidated!$B$5:$B$659,$B10,Consolidated!$C$5:$C$659,$C$5)</f>
        <v>5</v>
      </c>
      <c r="D10" s="14" t="str">
        <f aca="false">IFERROR(INDEX(RollupData!$B$2:$B$656,MATCH($B10&amp;"|"&amp;TEXT($C$5,"yyyymmdd")&amp;"|"&amp;8,RollupData!$A$2:$A$656,0)),"")</f>
        <v/>
      </c>
      <c r="E10" s="14" t="str">
        <f aca="false">IFERROR(INDEX(RollupData!$B$2:$B$656,MATCH($B10&amp;"|"&amp;TEXT($C$5,"yyyymmdd")&amp;"|"&amp;9,RollupData!$A$2:$A$656,0)),"")</f>
        <v>9:00a E-C AMs</v>
      </c>
      <c r="F10" s="14" t="str">
        <f aca="false">IFERROR(INDEX(RollupData!$B$2:$B$656,MATCH($B10&amp;"|"&amp;TEXT($C$5,"yyyymmdd")&amp;"|"&amp;10,RollupData!$A$2:$A$656,0)),"")</f>
        <v/>
      </c>
      <c r="G10" s="14" t="str">
        <f aca="false">IFERROR(INDEX(RollupData!$B$2:$B$656,MATCH($B10&amp;"|"&amp;TEXT($C$5,"yyyymmdd")&amp;"|"&amp;11,RollupData!$A$2:$A$656,0)),"")</f>
        <v>11:15a M-P AMs</v>
      </c>
      <c r="H10" s="14" t="str">
        <f aca="false">IFERROR(INDEX(RollupData!$B$2:$B$656,MATCH($B10&amp;"|"&amp;TEXT($C$5,"yyyymmdd")&amp;"|"&amp;12,RollupData!$A$2:$A$656,0)),"")</f>
        <v/>
      </c>
      <c r="I10" s="14" t="str">
        <f aca="false">IFERROR(INDEX(RollupData!$B$2:$B$656,MATCH($B10&amp;"|"&amp;TEXT($C$5,"yyyymmdd")&amp;"|"&amp;13,RollupData!$A$2:$A$656,0)),"")</f>
        <v>1:00p WFO</v>
      </c>
      <c r="J10" s="14" t="str">
        <f aca="false">IFERROR(INDEX(RollupData!$B$2:$B$656,MATCH($B10&amp;"|"&amp;TEXT($C$5,"yyyymmdd")&amp;"|"&amp;14,RollupData!$A$2:$A$656,0)),"")</f>
        <v/>
      </c>
      <c r="K10" s="14" t="str">
        <f aca="false">IFERROR(INDEX(RollupData!$B$2:$B$656,MATCH($B10&amp;"|"&amp;TEXT($C$5,"yyyymmdd")&amp;"|"&amp;15,RollupData!$A$2:$A$656,0)),"")</f>
        <v/>
      </c>
      <c r="L10" s="14" t="str">
        <f aca="false">IFERROR(INDEX(RollupData!$B$2:$B$656,MATCH($B10&amp;"|"&amp;TEXT($C$5,"yyyymmdd")&amp;"|"&amp;16,RollupData!$A$2:$A$656,0)),"")</f>
        <v/>
      </c>
      <c r="M10" s="14" t="str">
        <f aca="false">IFERROR(INDEX(RollupData!$B$2:$B$656,MATCH($B10&amp;"|"&amp;TEXT($C$5,"yyyymmdd")&amp;"|"&amp;17,RollupData!$A$2:$A$656,0)),"")</f>
        <v>5:00p Blitz</v>
      </c>
      <c r="N10" s="14" t="str">
        <f aca="false">IFERROR(INDEX(RollupData!$B$2:$B$656,MATCH($B10&amp;"|"&amp;TEXT($C$5,"yyyymmdd")&amp;"|"&amp;18,RollupData!$A$2:$A$656,0)),"")</f>
        <v/>
      </c>
      <c r="O10" s="14" t="str">
        <f aca="false">IFERROR(INDEX(RollupData!$B$2:$B$656,MATCH($B10&amp;"|"&amp;TEXT($C$5,"yyyymmdd")&amp;"|"&amp;19,RollupData!$A$2:$A$656,0)),"")</f>
        <v/>
      </c>
      <c r="P10" s="14" t="str">
        <f aca="false">IFERROR(INDEX(RollupData!$B$2:$B$656,MATCH($B10&amp;"|"&amp;TEXT($C$5,"yyyymmdd")&amp;"|"&amp;20,RollupData!$A$2:$A$656,0)),"")</f>
        <v>8:00p TSC (All)</v>
      </c>
      <c r="Q10" s="14" t="str">
        <f aca="false">IFERROR(INDEX(RollupData!$B$2:$B$656,MATCH($B10&amp;"|"&amp;TEXT($C$5,"yyyymmdd")&amp;"|"&amp;21,RollupData!$A$2:$A$656,0)),"")</f>
        <v/>
      </c>
      <c r="R10" s="15" t="str">
        <f aca="false">IFERROR(INDEX(RollupData!$D$2:$D$656,MATCH($B10&amp;"|"&amp;TEXT($C$5,"yyyymmdd"),RollupData!$C$2:$C$656,0)),"")</f>
        <v/>
      </c>
    </row>
    <row r="11" customFormat="false" ht="30" hidden="false" customHeight="true" outlineLevel="0" collapsed="false">
      <c r="B11" s="16" t="s">
        <v>11</v>
      </c>
      <c r="C11" s="13" t="n">
        <f aca="false">COUNTIFS(Consolidated!$B$5:$B$659,$B11,Consolidated!$C$5:$C$659,$C$5)</f>
        <v>5</v>
      </c>
      <c r="D11" s="14" t="str">
        <f aca="false">IFERROR(INDEX(RollupData!$B$2:$B$656,MATCH($B11&amp;"|"&amp;TEXT($C$5,"yyyymmdd")&amp;"|"&amp;8,RollupData!$A$2:$A$656,0)),"")</f>
        <v>8:15a E AMs</v>
      </c>
      <c r="E11" s="14" t="str">
        <f aca="false">IFERROR(INDEX(RollupData!$B$2:$B$656,MATCH($B11&amp;"|"&amp;TEXT($C$5,"yyyymmdd")&amp;"|"&amp;9,RollupData!$A$2:$A$656,0)),"")</f>
        <v/>
      </c>
      <c r="F11" s="14" t="str">
        <f aca="false">IFERROR(INDEX(RollupData!$B$2:$B$656,MATCH($B11&amp;"|"&amp;TEXT($C$5,"yyyymmdd")&amp;"|"&amp;10,RollupData!$A$2:$A$656,0)),"")</f>
        <v/>
      </c>
      <c r="G11" s="14" t="str">
        <f aca="false">IFERROR(INDEX(RollupData!$B$2:$B$656,MATCH($B11&amp;"|"&amp;TEXT($C$5,"yyyymmdd")&amp;"|"&amp;11,RollupData!$A$2:$A$656,0)),"")</f>
        <v>11:30a C-M-P AMs</v>
      </c>
      <c r="H11" s="14" t="str">
        <f aca="false">IFERROR(INDEX(RollupData!$B$2:$B$656,MATCH($B11&amp;"|"&amp;TEXT($C$5,"yyyymmdd")&amp;"|"&amp;12,RollupData!$A$2:$A$656,0)),"")</f>
        <v/>
      </c>
      <c r="I11" s="14" t="str">
        <f aca="false">IFERROR(INDEX(RollupData!$B$2:$B$656,MATCH($B11&amp;"|"&amp;TEXT($C$5,"yyyymmdd")&amp;"|"&amp;13,RollupData!$A$2:$A$656,0)),"")</f>
        <v>1:30p WFO</v>
      </c>
      <c r="J11" s="14" t="str">
        <f aca="false">IFERROR(INDEX(RollupData!$B$2:$B$656,MATCH($B11&amp;"|"&amp;TEXT($C$5,"yyyymmdd")&amp;"|"&amp;14,RollupData!$A$2:$A$656,0)),"")</f>
        <v/>
      </c>
      <c r="K11" s="14" t="str">
        <f aca="false">IFERROR(INDEX(RollupData!$B$2:$B$656,MATCH($B11&amp;"|"&amp;TEXT($C$5,"yyyymmdd")&amp;"|"&amp;15,RollupData!$A$2:$A$656,0)),"")</f>
        <v/>
      </c>
      <c r="L11" s="14" t="str">
        <f aca="false">IFERROR(INDEX(RollupData!$B$2:$B$656,MATCH($B11&amp;"|"&amp;TEXT($C$5,"yyyymmdd")&amp;"|"&amp;16,RollupData!$A$2:$A$656,0)),"")</f>
        <v/>
      </c>
      <c r="M11" s="14" t="str">
        <f aca="false">IFERROR(INDEX(RollupData!$B$2:$B$656,MATCH($B11&amp;"|"&amp;TEXT($C$5,"yyyymmdd")&amp;"|"&amp;17,RollupData!$A$2:$A$656,0)),"")</f>
        <v>5:00p Blitz</v>
      </c>
      <c r="N11" s="14" t="str">
        <f aca="false">IFERROR(INDEX(RollupData!$B$2:$B$656,MATCH($B11&amp;"|"&amp;TEXT($C$5,"yyyymmdd")&amp;"|"&amp;18,RollupData!$A$2:$A$656,0)),"")</f>
        <v/>
      </c>
      <c r="O11" s="14" t="str">
        <f aca="false">IFERROR(INDEX(RollupData!$B$2:$B$656,MATCH($B11&amp;"|"&amp;TEXT($C$5,"yyyymmdd")&amp;"|"&amp;19,RollupData!$A$2:$A$656,0)),"")</f>
        <v/>
      </c>
      <c r="P11" s="14" t="str">
        <f aca="false">IFERROR(INDEX(RollupData!$B$2:$B$656,MATCH($B11&amp;"|"&amp;TEXT($C$5,"yyyymmdd")&amp;"|"&amp;20,RollupData!$A$2:$A$656,0)),"")</f>
        <v>8:00p TSC (All)</v>
      </c>
      <c r="Q11" s="14" t="str">
        <f aca="false">IFERROR(INDEX(RollupData!$B$2:$B$656,MATCH($B11&amp;"|"&amp;TEXT($C$5,"yyyymmdd")&amp;"|"&amp;21,RollupData!$A$2:$A$656,0)),"")</f>
        <v/>
      </c>
      <c r="R11" s="15" t="str">
        <f aca="false">IFERROR(INDEX(RollupData!$D$2:$D$656,MATCH($B11&amp;"|"&amp;TEXT($C$5,"yyyymmdd"),RollupData!$C$2:$C$656,0)),"")</f>
        <v>Slowpay AM Daily</v>
      </c>
    </row>
    <row r="12" customFormat="false" ht="30" hidden="false" customHeight="true" outlineLevel="0" collapsed="false">
      <c r="B12" s="12" t="s">
        <v>12</v>
      </c>
      <c r="C12" s="13" t="n">
        <f aca="false">COUNTIFS(Consolidated!$B$5:$B$659,$B12,Consolidated!$C$5:$C$659,$C$5)</f>
        <v>4</v>
      </c>
      <c r="D12" s="14" t="str">
        <f aca="false">IFERROR(INDEX(RollupData!$B$2:$B$656,MATCH($B12&amp;"|"&amp;TEXT($C$5,"yyyymmdd")&amp;"|"&amp;8,RollupData!$A$2:$A$656,0)),"")</f>
        <v>8:15a Repo</v>
      </c>
      <c r="E12" s="14" t="str">
        <f aca="false">IFERROR(INDEX(RollupData!$B$2:$B$656,MATCH($B12&amp;"|"&amp;TEXT($C$5,"yyyymmdd")&amp;"|"&amp;9,RollupData!$A$2:$A$656,0)),"")</f>
        <v/>
      </c>
      <c r="F12" s="14" t="str">
        <f aca="false">IFERROR(INDEX(RollupData!$B$2:$B$656,MATCH($B12&amp;"|"&amp;TEXT($C$5,"yyyymmdd")&amp;"|"&amp;10,RollupData!$A$2:$A$656,0)),"")</f>
        <v>10:00a Repo</v>
      </c>
      <c r="G12" s="14" t="str">
        <f aca="false">IFERROR(INDEX(RollupData!$B$2:$B$656,MATCH($B12&amp;"|"&amp;TEXT($C$5,"yyyymmdd")&amp;"|"&amp;11,RollupData!$A$2:$A$656,0)),"")</f>
        <v/>
      </c>
      <c r="H12" s="14" t="str">
        <f aca="false">IFERROR(INDEX(RollupData!$B$2:$B$656,MATCH($B12&amp;"|"&amp;TEXT($C$5,"yyyymmdd")&amp;"|"&amp;12,RollupData!$A$2:$A$656,0)),"")</f>
        <v/>
      </c>
      <c r="I12" s="14" t="str">
        <f aca="false">IFERROR(INDEX(RollupData!$B$2:$B$656,MATCH($B12&amp;"|"&amp;TEXT($C$5,"yyyymmdd")&amp;"|"&amp;13,RollupData!$A$2:$A$656,0)),"")</f>
        <v>1:00p RP</v>
      </c>
      <c r="J12" s="14" t="str">
        <f aca="false">IFERROR(INDEX(RollupData!$B$2:$B$656,MATCH($B12&amp;"|"&amp;TEXT($C$5,"yyyymmdd")&amp;"|"&amp;14,RollupData!$A$2:$A$656,0)),"")</f>
        <v>2:00p Repo</v>
      </c>
      <c r="K12" s="14" t="str">
        <f aca="false">IFERROR(INDEX(RollupData!$B$2:$B$656,MATCH($B12&amp;"|"&amp;TEXT($C$5,"yyyymmdd")&amp;"|"&amp;15,RollupData!$A$2:$A$656,0)),"")</f>
        <v/>
      </c>
      <c r="L12" s="14" t="str">
        <f aca="false">IFERROR(INDEX(RollupData!$B$2:$B$656,MATCH($B12&amp;"|"&amp;TEXT($C$5,"yyyymmdd")&amp;"|"&amp;16,RollupData!$A$2:$A$656,0)),"")</f>
        <v/>
      </c>
      <c r="M12" s="14" t="str">
        <f aca="false">IFERROR(INDEX(RollupData!$B$2:$B$656,MATCH($B12&amp;"|"&amp;TEXT($C$5,"yyyymmdd")&amp;"|"&amp;17,RollupData!$A$2:$A$656,0)),"")</f>
        <v/>
      </c>
      <c r="N12" s="14" t="str">
        <f aca="false">IFERROR(INDEX(RollupData!$B$2:$B$656,MATCH($B12&amp;"|"&amp;TEXT($C$5,"yyyymmdd")&amp;"|"&amp;18,RollupData!$A$2:$A$656,0)),"")</f>
        <v/>
      </c>
      <c r="O12" s="14" t="str">
        <f aca="false">IFERROR(INDEX(RollupData!$B$2:$B$656,MATCH($B12&amp;"|"&amp;TEXT($C$5,"yyyymmdd")&amp;"|"&amp;19,RollupData!$A$2:$A$656,0)),"")</f>
        <v/>
      </c>
      <c r="P12" s="14" t="str">
        <f aca="false">IFERROR(INDEX(RollupData!$B$2:$B$656,MATCH($B12&amp;"|"&amp;TEXT($C$5,"yyyymmdd")&amp;"|"&amp;20,RollupData!$A$2:$A$656,0)),"")</f>
        <v/>
      </c>
      <c r="Q12" s="14" t="str">
        <f aca="false">IFERROR(INDEX(RollupData!$B$2:$B$656,MATCH($B12&amp;"|"&amp;TEXT($C$5,"yyyymmdd")&amp;"|"&amp;21,RollupData!$A$2:$A$656,0)),"")</f>
        <v/>
      </c>
      <c r="R12" s="15" t="str">
        <f aca="false">IFERROR(INDEX(RollupData!$D$2:$D$656,MATCH($B12&amp;"|"&amp;TEXT($C$5,"yyyymmdd"),RollupData!$C$2:$C$656,0)),"")</f>
        <v>AM Daily</v>
      </c>
    </row>
    <row r="13" customFormat="false" ht="30" hidden="false" customHeight="true" outlineLevel="0" collapsed="false">
      <c r="B13" s="16" t="s">
        <v>13</v>
      </c>
      <c r="C13" s="13" t="n">
        <f aca="false">COUNTIFS(Consolidated!$B$5:$B$659,$B13,Consolidated!$C$5:$C$659,$C$5)</f>
        <v>0</v>
      </c>
      <c r="D13" s="14" t="str">
        <f aca="false">IFERROR(INDEX(RollupData!$B$2:$B$656,MATCH($B13&amp;"|"&amp;TEXT($C$5,"yyyymmdd")&amp;"|"&amp;8,RollupData!$A$2:$A$656,0)),"")</f>
        <v/>
      </c>
      <c r="E13" s="14" t="str">
        <f aca="false">IFERROR(INDEX(RollupData!$B$2:$B$656,MATCH($B13&amp;"|"&amp;TEXT($C$5,"yyyymmdd")&amp;"|"&amp;9,RollupData!$A$2:$A$656,0)),"")</f>
        <v/>
      </c>
      <c r="F13" s="14" t="str">
        <f aca="false">IFERROR(INDEX(RollupData!$B$2:$B$656,MATCH($B13&amp;"|"&amp;TEXT($C$5,"yyyymmdd")&amp;"|"&amp;10,RollupData!$A$2:$A$656,0)),"")</f>
        <v/>
      </c>
      <c r="G13" s="14" t="str">
        <f aca="false">IFERROR(INDEX(RollupData!$B$2:$B$656,MATCH($B13&amp;"|"&amp;TEXT($C$5,"yyyymmdd")&amp;"|"&amp;11,RollupData!$A$2:$A$656,0)),"")</f>
        <v/>
      </c>
      <c r="H13" s="14" t="str">
        <f aca="false">IFERROR(INDEX(RollupData!$B$2:$B$656,MATCH($B13&amp;"|"&amp;TEXT($C$5,"yyyymmdd")&amp;"|"&amp;12,RollupData!$A$2:$A$656,0)),"")</f>
        <v/>
      </c>
      <c r="I13" s="14" t="str">
        <f aca="false">IFERROR(INDEX(RollupData!$B$2:$B$656,MATCH($B13&amp;"|"&amp;TEXT($C$5,"yyyymmdd")&amp;"|"&amp;13,RollupData!$A$2:$A$656,0)),"")</f>
        <v/>
      </c>
      <c r="J13" s="14" t="str">
        <f aca="false">IFERROR(INDEX(RollupData!$B$2:$B$656,MATCH($B13&amp;"|"&amp;TEXT($C$5,"yyyymmdd")&amp;"|"&amp;14,RollupData!$A$2:$A$656,0)),"")</f>
        <v/>
      </c>
      <c r="K13" s="14" t="str">
        <f aca="false">IFERROR(INDEX(RollupData!$B$2:$B$656,MATCH($B13&amp;"|"&amp;TEXT($C$5,"yyyymmdd")&amp;"|"&amp;15,RollupData!$A$2:$A$656,0)),"")</f>
        <v/>
      </c>
      <c r="L13" s="14" t="str">
        <f aca="false">IFERROR(INDEX(RollupData!$B$2:$B$656,MATCH($B13&amp;"|"&amp;TEXT($C$5,"yyyymmdd")&amp;"|"&amp;16,RollupData!$A$2:$A$656,0)),"")</f>
        <v/>
      </c>
      <c r="M13" s="14" t="str">
        <f aca="false">IFERROR(INDEX(RollupData!$B$2:$B$656,MATCH($B13&amp;"|"&amp;TEXT($C$5,"yyyymmdd")&amp;"|"&amp;17,RollupData!$A$2:$A$656,0)),"")</f>
        <v/>
      </c>
      <c r="N13" s="14" t="str">
        <f aca="false">IFERROR(INDEX(RollupData!$B$2:$B$656,MATCH($B13&amp;"|"&amp;TEXT($C$5,"yyyymmdd")&amp;"|"&amp;18,RollupData!$A$2:$A$656,0)),"")</f>
        <v/>
      </c>
      <c r="O13" s="14" t="str">
        <f aca="false">IFERROR(INDEX(RollupData!$B$2:$B$656,MATCH($B13&amp;"|"&amp;TEXT($C$5,"yyyymmdd")&amp;"|"&amp;19,RollupData!$A$2:$A$656,0)),"")</f>
        <v/>
      </c>
      <c r="P13" s="14" t="str">
        <f aca="false">IFERROR(INDEX(RollupData!$B$2:$B$656,MATCH($B13&amp;"|"&amp;TEXT($C$5,"yyyymmdd")&amp;"|"&amp;20,RollupData!$A$2:$A$656,0)),"")</f>
        <v/>
      </c>
      <c r="Q13" s="14" t="str">
        <f aca="false">IFERROR(INDEX(RollupData!$B$2:$B$656,MATCH($B13&amp;"|"&amp;TEXT($C$5,"yyyymmdd")&amp;"|"&amp;21,RollupData!$A$2:$A$656,0)),"")</f>
        <v/>
      </c>
      <c r="R13" s="15" t="str">
        <f aca="false">IFERROR(INDEX(RollupData!$D$2:$D$656,MATCH($B13&amp;"|"&amp;TEXT($C$5,"yyyymmdd"),RollupData!$C$2:$C$656,0)),"")</f>
        <v/>
      </c>
    </row>
    <row r="14" customFormat="false" ht="30" hidden="false" customHeight="true" outlineLevel="0" collapsed="false">
      <c r="B14" s="12" t="s">
        <v>14</v>
      </c>
      <c r="C14" s="13" t="n">
        <f aca="false">COUNTIFS(Consolidated!$B$5:$B$659,$B14,Consolidated!$C$5:$C$659,$C$5)</f>
        <v>1</v>
      </c>
      <c r="D14" s="14" t="str">
        <f aca="false">IFERROR(INDEX(RollupData!$B$2:$B$656,MATCH($B14&amp;"|"&amp;TEXT($C$5,"yyyymmdd")&amp;"|"&amp;8,RollupData!$A$2:$A$656,0)),"")</f>
        <v/>
      </c>
      <c r="E14" s="14" t="str">
        <f aca="false">IFERROR(INDEX(RollupData!$B$2:$B$656,MATCH($B14&amp;"|"&amp;TEXT($C$5,"yyyymmdd")&amp;"|"&amp;9,RollupData!$A$2:$A$656,0)),"")</f>
        <v/>
      </c>
      <c r="F14" s="14" t="str">
        <f aca="false">IFERROR(INDEX(RollupData!$B$2:$B$656,MATCH($B14&amp;"|"&amp;TEXT($C$5,"yyyymmdd")&amp;"|"&amp;10,RollupData!$A$2:$A$656,0)),"")</f>
        <v/>
      </c>
      <c r="G14" s="14" t="str">
        <f aca="false">IFERROR(INDEX(RollupData!$B$2:$B$656,MATCH($B14&amp;"|"&amp;TEXT($C$5,"yyyymmdd")&amp;"|"&amp;11,RollupData!$A$2:$A$656,0)),"")</f>
        <v/>
      </c>
      <c r="H14" s="14" t="str">
        <f aca="false">IFERROR(INDEX(RollupData!$B$2:$B$656,MATCH($B14&amp;"|"&amp;TEXT($C$5,"yyyymmdd")&amp;"|"&amp;12,RollupData!$A$2:$A$656,0)),"")</f>
        <v>12:30p E-C 1s &amp; Slow</v>
      </c>
      <c r="I14" s="14" t="str">
        <f aca="false">IFERROR(INDEX(RollupData!$B$2:$B$656,MATCH($B14&amp;"|"&amp;TEXT($C$5,"yyyymmdd")&amp;"|"&amp;13,RollupData!$A$2:$A$656,0)),"")</f>
        <v/>
      </c>
      <c r="J14" s="14" t="str">
        <f aca="false">IFERROR(INDEX(RollupData!$B$2:$B$656,MATCH($B14&amp;"|"&amp;TEXT($C$5,"yyyymmdd")&amp;"|"&amp;14,RollupData!$A$2:$A$656,0)),"")</f>
        <v/>
      </c>
      <c r="K14" s="14" t="str">
        <f aca="false">IFERROR(INDEX(RollupData!$B$2:$B$656,MATCH($B14&amp;"|"&amp;TEXT($C$5,"yyyymmdd")&amp;"|"&amp;15,RollupData!$A$2:$A$656,0)),"")</f>
        <v/>
      </c>
      <c r="L14" s="14" t="str">
        <f aca="false">IFERROR(INDEX(RollupData!$B$2:$B$656,MATCH($B14&amp;"|"&amp;TEXT($C$5,"yyyymmdd")&amp;"|"&amp;16,RollupData!$A$2:$A$656,0)),"")</f>
        <v/>
      </c>
      <c r="M14" s="14" t="str">
        <f aca="false">IFERROR(INDEX(RollupData!$B$2:$B$656,MATCH($B14&amp;"|"&amp;TEXT($C$5,"yyyymmdd")&amp;"|"&amp;17,RollupData!$A$2:$A$656,0)),"")</f>
        <v/>
      </c>
      <c r="N14" s="14" t="str">
        <f aca="false">IFERROR(INDEX(RollupData!$B$2:$B$656,MATCH($B14&amp;"|"&amp;TEXT($C$5,"yyyymmdd")&amp;"|"&amp;18,RollupData!$A$2:$A$656,0)),"")</f>
        <v/>
      </c>
      <c r="O14" s="14" t="str">
        <f aca="false">IFERROR(INDEX(RollupData!$B$2:$B$656,MATCH($B14&amp;"|"&amp;TEXT($C$5,"yyyymmdd")&amp;"|"&amp;19,RollupData!$A$2:$A$656,0)),"")</f>
        <v/>
      </c>
      <c r="P14" s="14" t="str">
        <f aca="false">IFERROR(INDEX(RollupData!$B$2:$B$656,MATCH($B14&amp;"|"&amp;TEXT($C$5,"yyyymmdd")&amp;"|"&amp;20,RollupData!$A$2:$A$656,0)),"")</f>
        <v/>
      </c>
      <c r="Q14" s="14" t="str">
        <f aca="false">IFERROR(INDEX(RollupData!$B$2:$B$656,MATCH($B14&amp;"|"&amp;TEXT($C$5,"yyyymmdd")&amp;"|"&amp;21,RollupData!$A$2:$A$656,0)),"")</f>
        <v/>
      </c>
      <c r="R14" s="15" t="str">
        <f aca="false">IFERROR(INDEX(RollupData!$D$2:$D$656,MATCH($B14&amp;"|"&amp;TEXT($C$5,"yyyymmdd"),RollupData!$C$2:$C$656,0)),"")</f>
        <v/>
      </c>
    </row>
    <row r="15" customFormat="false" ht="30" hidden="false" customHeight="true" outlineLevel="0" collapsed="false">
      <c r="B15" s="16" t="s">
        <v>15</v>
      </c>
      <c r="C15" s="13" t="n">
        <f aca="false">COUNTIFS(Consolidated!$B$5:$B$659,$B15,Consolidated!$C$5:$C$659,$C$5)</f>
        <v>1</v>
      </c>
      <c r="D15" s="14" t="str">
        <f aca="false">IFERROR(INDEX(RollupData!$B$2:$B$656,MATCH($B15&amp;"|"&amp;TEXT($C$5,"yyyymmdd")&amp;"|"&amp;8,RollupData!$A$2:$A$656,0)),"")</f>
        <v/>
      </c>
      <c r="E15" s="14" t="str">
        <f aca="false">IFERROR(INDEX(RollupData!$B$2:$B$656,MATCH($B15&amp;"|"&amp;TEXT($C$5,"yyyymmdd")&amp;"|"&amp;9,RollupData!$A$2:$A$656,0)),"")</f>
        <v/>
      </c>
      <c r="F15" s="14" t="str">
        <f aca="false">IFERROR(INDEX(RollupData!$B$2:$B$656,MATCH($B15&amp;"|"&amp;TEXT($C$5,"yyyymmdd")&amp;"|"&amp;10,RollupData!$A$2:$A$656,0)),"")</f>
        <v/>
      </c>
      <c r="G15" s="14" t="str">
        <f aca="false">IFERROR(INDEX(RollupData!$B$2:$B$656,MATCH($B15&amp;"|"&amp;TEXT($C$5,"yyyymmdd")&amp;"|"&amp;11,RollupData!$A$2:$A$656,0)),"")</f>
        <v/>
      </c>
      <c r="H15" s="14" t="str">
        <f aca="false">IFERROR(INDEX(RollupData!$B$2:$B$656,MATCH($B15&amp;"|"&amp;TEXT($C$5,"yyyymmdd")&amp;"|"&amp;12,RollupData!$A$2:$A$656,0)),"")</f>
        <v/>
      </c>
      <c r="I15" s="14" t="str">
        <f aca="false">IFERROR(INDEX(RollupData!$B$2:$B$656,MATCH($B15&amp;"|"&amp;TEXT($C$5,"yyyymmdd")&amp;"|"&amp;13,RollupData!$A$2:$A$656,0)),"")</f>
        <v/>
      </c>
      <c r="J15" s="14" t="str">
        <f aca="false">IFERROR(INDEX(RollupData!$B$2:$B$656,MATCH($B15&amp;"|"&amp;TEXT($C$5,"yyyymmdd")&amp;"|"&amp;14,RollupData!$A$2:$A$656,0)),"")</f>
        <v/>
      </c>
      <c r="K15" s="14" t="str">
        <f aca="false">IFERROR(INDEX(RollupData!$B$2:$B$656,MATCH($B15&amp;"|"&amp;TEXT($C$5,"yyyymmdd")&amp;"|"&amp;15,RollupData!$A$2:$A$656,0)),"")</f>
        <v/>
      </c>
      <c r="L15" s="14" t="str">
        <f aca="false">IFERROR(INDEX(RollupData!$B$2:$B$656,MATCH($B15&amp;"|"&amp;TEXT($C$5,"yyyymmdd")&amp;"|"&amp;16,RollupData!$A$2:$A$656,0)),"")</f>
        <v/>
      </c>
      <c r="M15" s="14" t="str">
        <f aca="false">IFERROR(INDEX(RollupData!$B$2:$B$656,MATCH($B15&amp;"|"&amp;TEXT($C$5,"yyyymmdd")&amp;"|"&amp;17,RollupData!$A$2:$A$656,0)),"")</f>
        <v/>
      </c>
      <c r="N15" s="14" t="str">
        <f aca="false">IFERROR(INDEX(RollupData!$B$2:$B$656,MATCH($B15&amp;"|"&amp;TEXT($C$5,"yyyymmdd")&amp;"|"&amp;18,RollupData!$A$2:$A$656,0)),"")</f>
        <v>6:00p Vendor</v>
      </c>
      <c r="O15" s="14" t="str">
        <f aca="false">IFERROR(INDEX(RollupData!$B$2:$B$656,MATCH($B15&amp;"|"&amp;TEXT($C$5,"yyyymmdd")&amp;"|"&amp;19,RollupData!$A$2:$A$656,0)),"")</f>
        <v/>
      </c>
      <c r="P15" s="14" t="str">
        <f aca="false">IFERROR(INDEX(RollupData!$B$2:$B$656,MATCH($B15&amp;"|"&amp;TEXT($C$5,"yyyymmdd")&amp;"|"&amp;20,RollupData!$A$2:$A$656,0)),"")</f>
        <v/>
      </c>
      <c r="Q15" s="14" t="str">
        <f aca="false">IFERROR(INDEX(RollupData!$B$2:$B$656,MATCH($B15&amp;"|"&amp;TEXT($C$5,"yyyymmdd")&amp;"|"&amp;21,RollupData!$A$2:$A$656,0)),"")</f>
        <v/>
      </c>
      <c r="R15" s="15" t="str">
        <f aca="false">IFERROR(INDEX(RollupData!$D$2:$D$656,MATCH($B15&amp;"|"&amp;TEXT($C$5,"yyyymmdd"),RollupData!$C$2:$C$656,0)),"")</f>
        <v/>
      </c>
    </row>
    <row r="16" customFormat="false" ht="30" hidden="false" customHeight="true" outlineLevel="0" collapsed="false">
      <c r="B16" s="12" t="s">
        <v>16</v>
      </c>
      <c r="C16" s="13" t="n">
        <f aca="false">COUNTIFS(Consolidated!$B$5:$B$659,$B16,Consolidated!$C$5:$C$659,$C$5)</f>
        <v>5</v>
      </c>
      <c r="D16" s="14" t="str">
        <f aca="false">IFERROR(INDEX(RollupData!$B$2:$B$656,MATCH($B16&amp;"|"&amp;TEXT($C$5,"yyyymmdd")&amp;"|"&amp;8,RollupData!$A$2:$A$656,0)),"")</f>
        <v>8:00a</v>
      </c>
      <c r="E16" s="14" t="str">
        <f aca="false">IFERROR(INDEX(RollupData!$B$2:$B$656,MATCH($B16&amp;"|"&amp;TEXT($C$5,"yyyymmdd")&amp;"|"&amp;9,RollupData!$A$2:$A$656,0)),"")</f>
        <v/>
      </c>
      <c r="F16" s="14" t="str">
        <f aca="false">IFERROR(INDEX(RollupData!$B$2:$B$656,MATCH($B16&amp;"|"&amp;TEXT($C$5,"yyyymmdd")&amp;"|"&amp;10,RollupData!$A$2:$A$656,0)),"")</f>
        <v/>
      </c>
      <c r="G16" s="14" t="str">
        <f aca="false">IFERROR(INDEX(RollupData!$B$2:$B$656,MATCH($B16&amp;"|"&amp;TEXT($C$5,"yyyymmdd")&amp;"|"&amp;11,RollupData!$A$2:$A$656,0)),"")</f>
        <v/>
      </c>
      <c r="H16" s="14" t="str">
        <f aca="false">IFERROR(INDEX(RollupData!$B$2:$B$656,MATCH($B16&amp;"|"&amp;TEXT($C$5,"yyyymmdd")&amp;"|"&amp;12,RollupData!$A$2:$A$656,0)),"")</f>
        <v>12:00p</v>
      </c>
      <c r="I16" s="14" t="str">
        <f aca="false">IFERROR(INDEX(RollupData!$B$2:$B$656,MATCH($B16&amp;"|"&amp;TEXT($C$5,"yyyymmdd")&amp;"|"&amp;13,RollupData!$A$2:$A$656,0)),"")</f>
        <v/>
      </c>
      <c r="J16" s="14" t="str">
        <f aca="false">IFERROR(INDEX(RollupData!$B$2:$B$656,MATCH($B16&amp;"|"&amp;TEXT($C$5,"yyyymmdd")&amp;"|"&amp;14,RollupData!$A$2:$A$656,0)),"")</f>
        <v>2:00p ASAP</v>
      </c>
      <c r="K16" s="14" t="str">
        <f aca="false">IFERROR(INDEX(RollupData!$B$2:$B$656,MATCH($B16&amp;"|"&amp;TEXT($C$5,"yyyymmdd")&amp;"|"&amp;15,RollupData!$A$2:$A$656,0)),"")</f>
        <v/>
      </c>
      <c r="L16" s="14" t="str">
        <f aca="false">IFERROR(INDEX(RollupData!$B$2:$B$656,MATCH($B16&amp;"|"&amp;TEXT($C$5,"yyyymmdd")&amp;"|"&amp;16,RollupData!$A$2:$A$656,0)),"")</f>
        <v>4:00p ASAP</v>
      </c>
      <c r="M16" s="14" t="str">
        <f aca="false">IFERROR(INDEX(RollupData!$B$2:$B$656,MATCH($B16&amp;"|"&amp;TEXT($C$5,"yyyymmdd")&amp;"|"&amp;17,RollupData!$A$2:$A$656,0)),"")</f>
        <v/>
      </c>
      <c r="N16" s="14" t="str">
        <f aca="false">IFERROR(INDEX(RollupData!$B$2:$B$656,MATCH($B16&amp;"|"&amp;TEXT($C$5,"yyyymmdd")&amp;"|"&amp;18,RollupData!$A$2:$A$656,0)),"")</f>
        <v>6:00p ASAP</v>
      </c>
      <c r="O16" s="14" t="str">
        <f aca="false">IFERROR(INDEX(RollupData!$B$2:$B$656,MATCH($B16&amp;"|"&amp;TEXT($C$5,"yyyymmdd")&amp;"|"&amp;19,RollupData!$A$2:$A$656,0)),"")</f>
        <v/>
      </c>
      <c r="P16" s="14" t="str">
        <f aca="false">IFERROR(INDEX(RollupData!$B$2:$B$656,MATCH($B16&amp;"|"&amp;TEXT($C$5,"yyyymmdd")&amp;"|"&amp;20,RollupData!$A$2:$A$656,0)),"")</f>
        <v/>
      </c>
      <c r="Q16" s="14" t="str">
        <f aca="false">IFERROR(INDEX(RollupData!$B$2:$B$656,MATCH($B16&amp;"|"&amp;TEXT($C$5,"yyyymmdd")&amp;"|"&amp;21,RollupData!$A$2:$A$656,0)),"")</f>
        <v/>
      </c>
      <c r="R16" s="15" t="str">
        <f aca="false">IFERROR(INDEX(RollupData!$D$2:$D$656,MATCH($B16&amp;"|"&amp;TEXT($C$5,"yyyymmdd"),RollupData!$C$2:$C$656,0)),"")</f>
        <v/>
      </c>
    </row>
    <row r="17" customFormat="false" ht="30" hidden="false" customHeight="true" outlineLevel="0" collapsed="false">
      <c r="B17" s="16" t="s">
        <v>17</v>
      </c>
      <c r="C17" s="13" t="n">
        <f aca="false">COUNTIFS(Consolidated!$B$5:$B$659,$B17,Consolidated!$C$5:$C$659,$C$5)</f>
        <v>2</v>
      </c>
      <c r="D17" s="14" t="str">
        <f aca="false">IFERROR(INDEX(RollupData!$B$2:$B$656,MATCH($B17&amp;"|"&amp;TEXT($C$5,"yyyymmdd")&amp;"|"&amp;8,RollupData!$A$2:$A$656,0)),"")</f>
        <v/>
      </c>
      <c r="E17" s="14" t="str">
        <f aca="false">IFERROR(INDEX(RollupData!$B$2:$B$656,MATCH($B17&amp;"|"&amp;TEXT($C$5,"yyyymmdd")&amp;"|"&amp;9,RollupData!$A$2:$A$656,0)),"")</f>
        <v/>
      </c>
      <c r="F17" s="14" t="str">
        <f aca="false">IFERROR(INDEX(RollupData!$B$2:$B$656,MATCH($B17&amp;"|"&amp;TEXT($C$5,"yyyymmdd")&amp;"|"&amp;10,RollupData!$A$2:$A$656,0)),"")</f>
        <v>10:30a NCs</v>
      </c>
      <c r="G17" s="14" t="str">
        <f aca="false">IFERROR(INDEX(RollupData!$B$2:$B$656,MATCH($B17&amp;"|"&amp;TEXT($C$5,"yyyymmdd")&amp;"|"&amp;11,RollupData!$A$2:$A$656,0)),"")</f>
        <v/>
      </c>
      <c r="H17" s="14" t="str">
        <f aca="false">IFERROR(INDEX(RollupData!$B$2:$B$656,MATCH($B17&amp;"|"&amp;TEXT($C$5,"yyyymmdd")&amp;"|"&amp;12,RollupData!$A$2:$A$656,0)),"")</f>
        <v/>
      </c>
      <c r="I17" s="14" t="str">
        <f aca="false">IFERROR(INDEX(RollupData!$B$2:$B$656,MATCH($B17&amp;"|"&amp;TEXT($C$5,"yyyymmdd")&amp;"|"&amp;13,RollupData!$A$2:$A$656,0)),"")</f>
        <v/>
      </c>
      <c r="J17" s="14" t="str">
        <f aca="false">IFERROR(INDEX(RollupData!$B$2:$B$656,MATCH($B17&amp;"|"&amp;TEXT($C$5,"yyyymmdd")&amp;"|"&amp;14,RollupData!$A$2:$A$656,0)),"")</f>
        <v/>
      </c>
      <c r="K17" s="14" t="str">
        <f aca="false">IFERROR(INDEX(RollupData!$B$2:$B$656,MATCH($B17&amp;"|"&amp;TEXT($C$5,"yyyymmdd")&amp;"|"&amp;15,RollupData!$A$2:$A$656,0)),"")</f>
        <v>3:30p All</v>
      </c>
      <c r="L17" s="14" t="str">
        <f aca="false">IFERROR(INDEX(RollupData!$B$2:$B$656,MATCH($B17&amp;"|"&amp;TEXT($C$5,"yyyymmdd")&amp;"|"&amp;16,RollupData!$A$2:$A$656,0)),"")</f>
        <v/>
      </c>
      <c r="M17" s="14" t="str">
        <f aca="false">IFERROR(INDEX(RollupData!$B$2:$B$656,MATCH($B17&amp;"|"&amp;TEXT($C$5,"yyyymmdd")&amp;"|"&amp;17,RollupData!$A$2:$A$656,0)),"")</f>
        <v/>
      </c>
      <c r="N17" s="14" t="str">
        <f aca="false">IFERROR(INDEX(RollupData!$B$2:$B$656,MATCH($B17&amp;"|"&amp;TEXT($C$5,"yyyymmdd")&amp;"|"&amp;18,RollupData!$A$2:$A$656,0)),"")</f>
        <v/>
      </c>
      <c r="O17" s="14" t="str">
        <f aca="false">IFERROR(INDEX(RollupData!$B$2:$B$656,MATCH($B17&amp;"|"&amp;TEXT($C$5,"yyyymmdd")&amp;"|"&amp;19,RollupData!$A$2:$A$656,0)),"")</f>
        <v/>
      </c>
      <c r="P17" s="14" t="str">
        <f aca="false">IFERROR(INDEX(RollupData!$B$2:$B$656,MATCH($B17&amp;"|"&amp;TEXT($C$5,"yyyymmdd")&amp;"|"&amp;20,RollupData!$A$2:$A$656,0)),"")</f>
        <v/>
      </c>
      <c r="Q17" s="14" t="str">
        <f aca="false">IFERROR(INDEX(RollupData!$B$2:$B$656,MATCH($B17&amp;"|"&amp;TEXT($C$5,"yyyymmdd")&amp;"|"&amp;21,RollupData!$A$2:$A$656,0)),"")</f>
        <v/>
      </c>
      <c r="R17" s="15" t="str">
        <f aca="false">IFERROR(INDEX(RollupData!$D$2:$D$656,MATCH($B17&amp;"|"&amp;TEXT($C$5,"yyyymmdd"),RollupData!$C$2:$C$656,0)),"")</f>
        <v>Broken Promise / Recent Pay / Dialer Only</v>
      </c>
    </row>
    <row r="18" customFormat="false" ht="30" hidden="false" customHeight="true" outlineLevel="0" collapsed="false">
      <c r="B18" s="12" t="s">
        <v>18</v>
      </c>
      <c r="C18" s="13" t="n">
        <f aca="false">COUNTIFS(Consolidated!$B$5:$B$659,$B18,Consolidated!$C$5:$C$659,$C$5)</f>
        <v>1</v>
      </c>
      <c r="D18" s="14" t="str">
        <f aca="false">IFERROR(INDEX(RollupData!$B$2:$B$656,MATCH($B18&amp;"|"&amp;TEXT($C$5,"yyyymmdd")&amp;"|"&amp;8,RollupData!$A$2:$A$656,0)),"")</f>
        <v/>
      </c>
      <c r="E18" s="14" t="str">
        <f aca="false">IFERROR(INDEX(RollupData!$B$2:$B$656,MATCH($B18&amp;"|"&amp;TEXT($C$5,"yyyymmdd")&amp;"|"&amp;9,RollupData!$A$2:$A$656,0)),"")</f>
        <v/>
      </c>
      <c r="F18" s="14" t="str">
        <f aca="false">IFERROR(INDEX(RollupData!$B$2:$B$656,MATCH($B18&amp;"|"&amp;TEXT($C$5,"yyyymmdd")&amp;"|"&amp;10,RollupData!$A$2:$A$656,0)),"")</f>
        <v/>
      </c>
      <c r="G18" s="14" t="str">
        <f aca="false">IFERROR(INDEX(RollupData!$B$2:$B$656,MATCH($B18&amp;"|"&amp;TEXT($C$5,"yyyymmdd")&amp;"|"&amp;11,RollupData!$A$2:$A$656,0)),"")</f>
        <v/>
      </c>
      <c r="H18" s="14" t="str">
        <f aca="false">IFERROR(INDEX(RollupData!$B$2:$B$656,MATCH($B18&amp;"|"&amp;TEXT($C$5,"yyyymmdd")&amp;"|"&amp;12,RollupData!$A$2:$A$656,0)),"")</f>
        <v/>
      </c>
      <c r="I18" s="14" t="str">
        <f aca="false">IFERROR(INDEX(RollupData!$B$2:$B$656,MATCH($B18&amp;"|"&amp;TEXT($C$5,"yyyymmdd")&amp;"|"&amp;13,RollupData!$A$2:$A$656,0)),"")</f>
        <v/>
      </c>
      <c r="J18" s="14" t="str">
        <f aca="false">IFERROR(INDEX(RollupData!$B$2:$B$656,MATCH($B18&amp;"|"&amp;TEXT($C$5,"yyyymmdd")&amp;"|"&amp;14,RollupData!$A$2:$A$656,0)),"")</f>
        <v/>
      </c>
      <c r="K18" s="14" t="str">
        <f aca="false">IFERROR(INDEX(RollupData!$B$2:$B$656,MATCH($B18&amp;"|"&amp;TEXT($C$5,"yyyymmdd")&amp;"|"&amp;15,RollupData!$A$2:$A$656,0)),"")</f>
        <v/>
      </c>
      <c r="L18" s="14" t="str">
        <f aca="false">IFERROR(INDEX(RollupData!$B$2:$B$656,MATCH($B18&amp;"|"&amp;TEXT($C$5,"yyyymmdd")&amp;"|"&amp;16,RollupData!$A$2:$A$656,0)),"")</f>
        <v/>
      </c>
      <c r="M18" s="14" t="str">
        <f aca="false">IFERROR(INDEX(RollupData!$B$2:$B$656,MATCH($B18&amp;"|"&amp;TEXT($C$5,"yyyymmdd")&amp;"|"&amp;17,RollupData!$A$2:$A$656,0)),"")</f>
        <v/>
      </c>
      <c r="N18" s="14" t="str">
        <f aca="false">IFERROR(INDEX(RollupData!$B$2:$B$656,MATCH($B18&amp;"|"&amp;TEXT($C$5,"yyyymmdd")&amp;"|"&amp;18,RollupData!$A$2:$A$656,0)),"")</f>
        <v/>
      </c>
      <c r="O18" s="14" t="str">
        <f aca="false">IFERROR(INDEX(RollupData!$B$2:$B$656,MATCH($B18&amp;"|"&amp;TEXT($C$5,"yyyymmdd")&amp;"|"&amp;19,RollupData!$A$2:$A$656,0)),"")</f>
        <v/>
      </c>
      <c r="P18" s="14" t="str">
        <f aca="false">IFERROR(INDEX(RollupData!$B$2:$B$656,MATCH($B18&amp;"|"&amp;TEXT($C$5,"yyyymmdd")&amp;"|"&amp;20,RollupData!$A$2:$A$656,0)),"")</f>
        <v/>
      </c>
      <c r="Q18" s="14" t="str">
        <f aca="false">IFERROR(INDEX(RollupData!$B$2:$B$656,MATCH($B18&amp;"|"&amp;TEXT($C$5,"yyyymmdd")&amp;"|"&amp;21,RollupData!$A$2:$A$656,0)),"")</f>
        <v/>
      </c>
      <c r="R18" s="15" t="str">
        <f aca="false">IFERROR(INDEX(RollupData!$D$2:$D$656,MATCH($B18&amp;"|"&amp;TEXT($C$5,"yyyymmdd"),RollupData!$C$2:$C$656,0)),"")</f>
        <v>Priority Order: Second/Third</v>
      </c>
    </row>
    <row r="19" customFormat="false" ht="30" hidden="false" customHeight="true" outlineLevel="0" collapsed="false">
      <c r="B19" s="16" t="s">
        <v>19</v>
      </c>
      <c r="C19" s="13" t="n">
        <f aca="false">COUNTIFS(Consolidated!$B$5:$B$659,$B19,Consolidated!$C$5:$C$659,$C$5)</f>
        <v>0</v>
      </c>
      <c r="D19" s="14" t="str">
        <f aca="false">IFERROR(INDEX(RollupData!$B$2:$B$656,MATCH($B19&amp;"|"&amp;TEXT($C$5,"yyyymmdd")&amp;"|"&amp;8,RollupData!$A$2:$A$656,0)),"")</f>
        <v/>
      </c>
      <c r="E19" s="14" t="str">
        <f aca="false">IFERROR(INDEX(RollupData!$B$2:$B$656,MATCH($B19&amp;"|"&amp;TEXT($C$5,"yyyymmdd")&amp;"|"&amp;9,RollupData!$A$2:$A$656,0)),"")</f>
        <v/>
      </c>
      <c r="F19" s="14" t="str">
        <f aca="false">IFERROR(INDEX(RollupData!$B$2:$B$656,MATCH($B19&amp;"|"&amp;TEXT($C$5,"yyyymmdd")&amp;"|"&amp;10,RollupData!$A$2:$A$656,0)),"")</f>
        <v/>
      </c>
      <c r="G19" s="14" t="str">
        <f aca="false">IFERROR(INDEX(RollupData!$B$2:$B$656,MATCH($B19&amp;"|"&amp;TEXT($C$5,"yyyymmdd")&amp;"|"&amp;11,RollupData!$A$2:$A$656,0)),"")</f>
        <v/>
      </c>
      <c r="H19" s="14" t="str">
        <f aca="false">IFERROR(INDEX(RollupData!$B$2:$B$656,MATCH($B19&amp;"|"&amp;TEXT($C$5,"yyyymmdd")&amp;"|"&amp;12,RollupData!$A$2:$A$656,0)),"")</f>
        <v/>
      </c>
      <c r="I19" s="14" t="str">
        <f aca="false">IFERROR(INDEX(RollupData!$B$2:$B$656,MATCH($B19&amp;"|"&amp;TEXT($C$5,"yyyymmdd")&amp;"|"&amp;13,RollupData!$A$2:$A$656,0)),"")</f>
        <v/>
      </c>
      <c r="J19" s="14" t="str">
        <f aca="false">IFERROR(INDEX(RollupData!$B$2:$B$656,MATCH($B19&amp;"|"&amp;TEXT($C$5,"yyyymmdd")&amp;"|"&amp;14,RollupData!$A$2:$A$656,0)),"")</f>
        <v/>
      </c>
      <c r="K19" s="14" t="str">
        <f aca="false">IFERROR(INDEX(RollupData!$B$2:$B$656,MATCH($B19&amp;"|"&amp;TEXT($C$5,"yyyymmdd")&amp;"|"&amp;15,RollupData!$A$2:$A$656,0)),"")</f>
        <v/>
      </c>
      <c r="L19" s="14" t="str">
        <f aca="false">IFERROR(INDEX(RollupData!$B$2:$B$656,MATCH($B19&amp;"|"&amp;TEXT($C$5,"yyyymmdd")&amp;"|"&amp;16,RollupData!$A$2:$A$656,0)),"")</f>
        <v/>
      </c>
      <c r="M19" s="14" t="str">
        <f aca="false">IFERROR(INDEX(RollupData!$B$2:$B$656,MATCH($B19&amp;"|"&amp;TEXT($C$5,"yyyymmdd")&amp;"|"&amp;17,RollupData!$A$2:$A$656,0)),"")</f>
        <v/>
      </c>
      <c r="N19" s="14" t="str">
        <f aca="false">IFERROR(INDEX(RollupData!$B$2:$B$656,MATCH($B19&amp;"|"&amp;TEXT($C$5,"yyyymmdd")&amp;"|"&amp;18,RollupData!$A$2:$A$656,0)),"")</f>
        <v/>
      </c>
      <c r="O19" s="14" t="str">
        <f aca="false">IFERROR(INDEX(RollupData!$B$2:$B$656,MATCH($B19&amp;"|"&amp;TEXT($C$5,"yyyymmdd")&amp;"|"&amp;19,RollupData!$A$2:$A$656,0)),"")</f>
        <v/>
      </c>
      <c r="P19" s="14" t="str">
        <f aca="false">IFERROR(INDEX(RollupData!$B$2:$B$656,MATCH($B19&amp;"|"&amp;TEXT($C$5,"yyyymmdd")&amp;"|"&amp;20,RollupData!$A$2:$A$656,0)),"")</f>
        <v/>
      </c>
      <c r="Q19" s="14" t="str">
        <f aca="false">IFERROR(INDEX(RollupData!$B$2:$B$656,MATCH($B19&amp;"|"&amp;TEXT($C$5,"yyyymmdd")&amp;"|"&amp;21,RollupData!$A$2:$A$656,0)),"")</f>
        <v/>
      </c>
      <c r="R19" s="15" t="str">
        <f aca="false">IFERROR(INDEX(RollupData!$D$2:$D$656,MATCH($B19&amp;"|"&amp;TEXT($C$5,"yyyymmdd"),RollupData!$C$2:$C$656,0)),"")</f>
        <v/>
      </c>
    </row>
    <row r="21" customFormat="false" ht="15" hidden="false" customHeight="false" outlineLevel="0" collapsed="false">
      <c r="B21" s="17" t="s">
        <v>20</v>
      </c>
      <c r="D21" s="18" t="s">
        <v>21</v>
      </c>
      <c r="E21" s="18"/>
      <c r="F21" s="19" t="s">
        <v>22</v>
      </c>
      <c r="G21" s="19"/>
      <c r="H21" s="20" t="s">
        <v>23</v>
      </c>
      <c r="I21" s="20"/>
      <c r="J21" s="21" t="s">
        <v>24</v>
      </c>
      <c r="K21" s="21"/>
      <c r="L21" s="22" t="s">
        <v>25</v>
      </c>
      <c r="M21" s="22"/>
      <c r="N21" s="23" t="s">
        <v>26</v>
      </c>
      <c r="O21" s="23"/>
    </row>
    <row r="23" customFormat="false" ht="19.5" hidden="false" customHeight="true" outlineLevel="0" collapsed="false">
      <c r="B23" s="24" t="s">
        <v>27</v>
      </c>
      <c r="C23" s="24"/>
      <c r="D23" s="24"/>
      <c r="E23" s="24"/>
      <c r="F23" s="24"/>
      <c r="G23" s="24"/>
      <c r="H23" s="24"/>
      <c r="J23" s="24" t="s">
        <v>28</v>
      </c>
      <c r="K23" s="24"/>
      <c r="L23" s="24"/>
      <c r="M23" s="24"/>
    </row>
    <row r="24" customFormat="false" ht="15" hidden="false" customHeight="false" outlineLevel="0" collapsed="false">
      <c r="B24" s="25" t="s">
        <v>29</v>
      </c>
      <c r="C24" s="25" t="s">
        <v>30</v>
      </c>
      <c r="D24" s="25" t="s">
        <v>31</v>
      </c>
      <c r="E24" s="25" t="s">
        <v>32</v>
      </c>
      <c r="J24" s="25" t="s">
        <v>29</v>
      </c>
      <c r="K24" s="25" t="s">
        <v>33</v>
      </c>
      <c r="L24" s="25" t="s">
        <v>34</v>
      </c>
      <c r="M24" s="25" t="s">
        <v>35</v>
      </c>
    </row>
    <row r="25" customFormat="false" ht="15" hidden="false" customHeight="false" outlineLevel="0" collapsed="false">
      <c r="B25" s="26" t="s">
        <v>36</v>
      </c>
      <c r="C25" s="27"/>
      <c r="D25" s="27"/>
      <c r="E25" s="27"/>
      <c r="J25" s="28" t="s">
        <v>37</v>
      </c>
      <c r="K25" s="29" t="s">
        <v>38</v>
      </c>
      <c r="L25" s="27" t="str">
        <f aca="false">IFERROR(INDEX('Ref Card Hours'!$B$2:$B$40,MATCH('Daily Rollup'!$C$5,'Ref Card Hours'!$A$2:$A$40,0)),"")</f>
        <v>8:00am</v>
      </c>
      <c r="M25" s="27" t="str">
        <f aca="false">IFERROR(INDEX('Ref Card Hours'!$C$2:$C$40,MATCH('Daily Rollup'!$C$5,'Ref Card Hours'!$A$2:$A$40,0)),"")</f>
        <v>8:00pm</v>
      </c>
    </row>
    <row r="26" customFormat="false" ht="15" hidden="false" customHeight="false" outlineLevel="0" collapsed="false">
      <c r="B26" s="26" t="s">
        <v>39</v>
      </c>
      <c r="C26" s="27"/>
      <c r="D26" s="27"/>
      <c r="E26" s="27"/>
      <c r="J26" s="28" t="s">
        <v>19</v>
      </c>
      <c r="K26" s="29" t="s">
        <v>40</v>
      </c>
      <c r="L26" s="27" t="s">
        <v>41</v>
      </c>
      <c r="M26" s="27" t="s">
        <v>42</v>
      </c>
    </row>
    <row r="27" customFormat="false" ht="15" hidden="false" customHeight="false" outlineLevel="0" collapsed="false">
      <c r="B27" s="26" t="s">
        <v>16</v>
      </c>
      <c r="C27" s="27"/>
      <c r="D27" s="27"/>
      <c r="E27" s="27"/>
      <c r="J27" s="28" t="s">
        <v>18</v>
      </c>
      <c r="K27" s="29" t="s">
        <v>43</v>
      </c>
      <c r="L27" s="27" t="s">
        <v>41</v>
      </c>
      <c r="M27" s="27" t="s">
        <v>44</v>
      </c>
    </row>
    <row r="28" customFormat="false" ht="15" hidden="false" customHeight="false" outlineLevel="0" collapsed="false">
      <c r="B28" s="26" t="s">
        <v>45</v>
      </c>
      <c r="C28" s="27"/>
      <c r="D28" s="27"/>
      <c r="E28" s="27"/>
    </row>
    <row r="30" customFormat="false" ht="15" hidden="false" customHeight="false" outlineLevel="0" collapsed="false">
      <c r="B30" s="30" t="s">
        <v>46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</sheetData>
  <mergeCells count="13">
    <mergeCell ref="B2:S2"/>
    <mergeCell ref="B3:S3"/>
    <mergeCell ref="E5:F5"/>
    <mergeCell ref="I5:S5"/>
    <mergeCell ref="D21:E21"/>
    <mergeCell ref="F21:G21"/>
    <mergeCell ref="H21:I21"/>
    <mergeCell ref="J21:K21"/>
    <mergeCell ref="L21:M21"/>
    <mergeCell ref="N21:O21"/>
    <mergeCell ref="B23:H23"/>
    <mergeCell ref="J23:M23"/>
    <mergeCell ref="B30:S30"/>
  </mergeCells>
  <conditionalFormatting sqref="D8:Q19">
    <cfRule type="containsText" priority="2" operator="containsText" aboveAverage="0" equalAverage="0" bottom="0" percent="0" rank="0" text="Blitz" dxfId="0">
      <formula>NOT(ISERROR(SEARCH("Blitz",D8)))</formula>
    </cfRule>
    <cfRule type="containsText" priority="3" operator="containsText" aboveAverage="0" equalAverage="0" bottom="0" percent="0" rank="0" text="TSC" dxfId="1">
      <formula>NOT(ISERROR(SEARCH("TSC",D8)))</formula>
    </cfRule>
    <cfRule type="containsText" priority="4" operator="containsText" aboveAverage="0" equalAverage="0" bottom="0" percent="0" rank="0" text="Branch" dxfId="2">
      <formula>NOT(ISERROR(SEARCH("Branch",D8)))</formula>
    </cfRule>
    <cfRule type="containsText" priority="5" operator="containsText" aboveAverage="0" equalAverage="0" bottom="0" percent="0" rank="0" text="Vendor" dxfId="3">
      <formula>NOT(ISERROR(SEARCH("Vendor",D8)))</formula>
    </cfRule>
    <cfRule type="containsText" priority="6" operator="containsText" aboveAverage="0" equalAverage="0" bottom="0" percent="0" rank="0" text="WFO" dxfId="4">
      <formula>NOT(ISERROR(SEARCH("WFO",D8)))</formula>
    </cfRule>
    <cfRule type="containsText" priority="7" operator="containsText" aboveAverage="0" equalAverage="0" bottom="0" percent="0" rank="0" text="AMs" dxfId="5">
      <formula>NOT(ISERROR(SEARCH("AMs",D8)))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A008"/>
    <pageSetUpPr fitToPage="false"/>
  </sheetPr>
  <dimension ref="B2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0"/>
  </cols>
  <sheetData>
    <row r="2" customFormat="false" ht="27.75" hidden="false" customHeight="true" outlineLevel="0" collapsed="false">
      <c r="B2" s="31" t="s">
        <v>47</v>
      </c>
    </row>
    <row r="3" customFormat="false" ht="15" hidden="false" customHeight="false" outlineLevel="0" collapsed="false">
      <c r="B3" s="32" t="s">
        <v>48</v>
      </c>
    </row>
    <row r="4" customFormat="false" ht="15" hidden="false" customHeight="false" outlineLevel="0" collapsed="false">
      <c r="B4" s="32"/>
    </row>
    <row r="5" customFormat="false" ht="15" hidden="false" customHeight="false" outlineLevel="0" collapsed="false">
      <c r="B5" s="33" t="s">
        <v>49</v>
      </c>
    </row>
    <row r="6" customFormat="false" ht="15" hidden="false" customHeight="false" outlineLevel="0" collapsed="false">
      <c r="B6" s="32" t="s">
        <v>50</v>
      </c>
    </row>
    <row r="7" customFormat="false" ht="15" hidden="false" customHeight="false" outlineLevel="0" collapsed="false">
      <c r="B7" s="32" t="s">
        <v>51</v>
      </c>
    </row>
    <row r="8" customFormat="false" ht="15" hidden="false" customHeight="false" outlineLevel="0" collapsed="false">
      <c r="B8" s="32" t="s">
        <v>52</v>
      </c>
    </row>
    <row r="9" customFormat="false" ht="15" hidden="false" customHeight="false" outlineLevel="0" collapsed="false">
      <c r="B9" s="32"/>
    </row>
    <row r="10" customFormat="false" ht="15" hidden="false" customHeight="false" outlineLevel="0" collapsed="false">
      <c r="B10" s="33" t="s">
        <v>53</v>
      </c>
    </row>
    <row r="11" customFormat="false" ht="15" hidden="false" customHeight="false" outlineLevel="0" collapsed="false">
      <c r="B11" s="32" t="s">
        <v>54</v>
      </c>
    </row>
    <row r="12" customFormat="false" ht="15" hidden="false" customHeight="false" outlineLevel="0" collapsed="false">
      <c r="B12" s="34" t="s">
        <v>55</v>
      </c>
    </row>
    <row r="13" customFormat="false" ht="15" hidden="false" customHeight="false" outlineLevel="0" collapsed="false">
      <c r="B13" s="32" t="s">
        <v>56</v>
      </c>
    </row>
    <row r="14" customFormat="false" ht="15" hidden="false" customHeight="false" outlineLevel="0" collapsed="false">
      <c r="B14" s="32" t="s">
        <v>57</v>
      </c>
    </row>
    <row r="15" customFormat="false" ht="15" hidden="false" customHeight="false" outlineLevel="0" collapsed="false">
      <c r="B15" s="32" t="s">
        <v>58</v>
      </c>
    </row>
    <row r="16" customFormat="false" ht="15" hidden="false" customHeight="false" outlineLevel="0" collapsed="false">
      <c r="B16" s="32" t="s">
        <v>59</v>
      </c>
    </row>
    <row r="17" customFormat="false" ht="15" hidden="false" customHeight="false" outlineLevel="0" collapsed="false">
      <c r="B17" s="32" t="s">
        <v>60</v>
      </c>
    </row>
    <row r="18" customFormat="false" ht="15" hidden="false" customHeight="false" outlineLevel="0" collapsed="false">
      <c r="B18" s="32" t="s">
        <v>61</v>
      </c>
    </row>
    <row r="19" customFormat="false" ht="15" hidden="false" customHeight="false" outlineLevel="0" collapsed="false">
      <c r="B19" s="32" t="s">
        <v>62</v>
      </c>
    </row>
    <row r="20" customFormat="false" ht="15" hidden="false" customHeight="false" outlineLevel="0" collapsed="false">
      <c r="B20" s="32"/>
    </row>
    <row r="21" customFormat="false" ht="15" hidden="false" customHeight="false" outlineLevel="0" collapsed="false">
      <c r="B21" s="33" t="s">
        <v>63</v>
      </c>
    </row>
    <row r="22" customFormat="false" ht="15" hidden="false" customHeight="false" outlineLevel="0" collapsed="false">
      <c r="B22" s="32" t="s">
        <v>64</v>
      </c>
    </row>
    <row r="23" customFormat="false" ht="15" hidden="false" customHeight="false" outlineLevel="0" collapsed="false">
      <c r="B23" s="32" t="s">
        <v>65</v>
      </c>
    </row>
    <row r="24" customFormat="false" ht="15" hidden="false" customHeight="false" outlineLevel="0" collapsed="false">
      <c r="B24" s="32" t="s">
        <v>66</v>
      </c>
    </row>
    <row r="25" customFormat="false" ht="15" hidden="false" customHeight="false" outlineLevel="0" collapsed="false">
      <c r="B25" s="32" t="s">
        <v>67</v>
      </c>
    </row>
    <row r="26" customFormat="false" ht="15" hidden="false" customHeight="false" outlineLevel="0" collapsed="false">
      <c r="B26" s="32"/>
    </row>
    <row r="27" customFormat="false" ht="15" hidden="false" customHeight="false" outlineLevel="0" collapsed="false">
      <c r="B27" s="33" t="s">
        <v>68</v>
      </c>
    </row>
    <row r="28" customFormat="false" ht="15" hidden="false" customHeight="false" outlineLevel="0" collapsed="false">
      <c r="B28" s="32" t="s">
        <v>69</v>
      </c>
    </row>
    <row r="29" customFormat="false" ht="15" hidden="false" customHeight="false" outlineLevel="0" collapsed="false">
      <c r="B29" s="32" t="s">
        <v>70</v>
      </c>
    </row>
    <row r="30" customFormat="false" ht="15" hidden="false" customHeight="false" outlineLevel="0" collapsed="false">
      <c r="B30" s="32" t="s">
        <v>71</v>
      </c>
    </row>
    <row r="31" customFormat="false" ht="15" hidden="false" customHeight="false" outlineLevel="0" collapsed="false">
      <c r="B31" s="3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AC"/>
    <pageSetUpPr fitToPage="false"/>
  </sheetPr>
  <dimension ref="B2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35" t="s">
        <v>73</v>
      </c>
      <c r="C2" s="35" t="s">
        <v>74</v>
      </c>
    </row>
    <row r="3" customFormat="false" ht="15" hidden="false" customHeight="false" outlineLevel="0" collapsed="false">
      <c r="B3" s="36" t="s">
        <v>75</v>
      </c>
      <c r="C3" s="37" t="s">
        <v>76</v>
      </c>
      <c r="E3" s="38" t="s">
        <v>77</v>
      </c>
    </row>
    <row r="4" customFormat="false" ht="15" hidden="false" customHeight="false" outlineLevel="0" collapsed="false">
      <c r="B4" s="36" t="s">
        <v>78</v>
      </c>
      <c r="C4" s="3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D3E"/>
    <pageSetUpPr fitToPage="false"/>
  </sheetPr>
  <dimension ref="B2:J8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20"/>
  </cols>
  <sheetData>
    <row r="2" customFormat="false" ht="24" hidden="false" customHeight="true" outlineLevel="0" collapsed="false">
      <c r="B2" s="39" t="s">
        <v>80</v>
      </c>
      <c r="C2" s="39"/>
      <c r="D2" s="39"/>
      <c r="E2" s="39"/>
      <c r="F2" s="39"/>
      <c r="G2" s="39"/>
      <c r="H2" s="39"/>
      <c r="I2" s="39"/>
      <c r="J2" s="39"/>
    </row>
    <row r="4" customFormat="false" ht="27.75" hidden="false" customHeight="true" outlineLevel="0" collapsed="false">
      <c r="B4" s="40" t="s">
        <v>5</v>
      </c>
      <c r="C4" s="40" t="s">
        <v>81</v>
      </c>
      <c r="D4" s="40" t="s">
        <v>82</v>
      </c>
      <c r="E4" s="40" t="s">
        <v>83</v>
      </c>
      <c r="F4" s="40" t="s">
        <v>84</v>
      </c>
      <c r="G4" s="40" t="s">
        <v>85</v>
      </c>
      <c r="H4" s="40" t="s">
        <v>86</v>
      </c>
      <c r="I4" s="40" t="s">
        <v>7</v>
      </c>
      <c r="J4" s="40" t="s">
        <v>87</v>
      </c>
    </row>
    <row r="5" customFormat="false" ht="15" hidden="false" customHeight="false" outlineLevel="0" collapsed="false">
      <c r="B5" s="41" t="s">
        <v>17</v>
      </c>
      <c r="C5" s="42" t="n">
        <v>46204</v>
      </c>
      <c r="D5" s="43" t="n">
        <v>0.479166666666667</v>
      </c>
      <c r="E5" s="41"/>
      <c r="F5" s="41" t="s">
        <v>88</v>
      </c>
      <c r="G5" s="41" t="n">
        <v>1</v>
      </c>
      <c r="H5" s="41" t="s">
        <v>89</v>
      </c>
      <c r="I5" s="44" t="s">
        <v>90</v>
      </c>
      <c r="J5" s="44" t="s">
        <v>91</v>
      </c>
    </row>
    <row r="6" customFormat="false" ht="15" hidden="false" customHeight="false" outlineLevel="0" collapsed="false">
      <c r="B6" s="41" t="s">
        <v>17</v>
      </c>
      <c r="C6" s="42" t="n">
        <v>46204</v>
      </c>
      <c r="D6" s="43" t="n">
        <v>0.645833333333333</v>
      </c>
      <c r="E6" s="41" t="s">
        <v>92</v>
      </c>
      <c r="F6" s="41" t="s">
        <v>88</v>
      </c>
      <c r="G6" s="41" t="n">
        <v>2</v>
      </c>
      <c r="H6" s="41"/>
      <c r="I6" s="44" t="s">
        <v>90</v>
      </c>
      <c r="J6" s="44" t="s">
        <v>91</v>
      </c>
    </row>
    <row r="7" customFormat="false" ht="15" hidden="false" customHeight="false" outlineLevel="0" collapsed="false">
      <c r="B7" s="41" t="s">
        <v>11</v>
      </c>
      <c r="C7" s="42" t="n">
        <v>46204</v>
      </c>
      <c r="D7" s="43" t="n">
        <v>0.354166666666667</v>
      </c>
      <c r="E7" s="41" t="s">
        <v>93</v>
      </c>
      <c r="F7" s="41" t="s">
        <v>88</v>
      </c>
      <c r="G7" s="41" t="n">
        <v>1</v>
      </c>
      <c r="H7" s="41" t="s">
        <v>94</v>
      </c>
      <c r="I7" s="44" t="s">
        <v>95</v>
      </c>
      <c r="J7" s="44" t="s">
        <v>96</v>
      </c>
    </row>
    <row r="8" customFormat="false" ht="15" hidden="false" customHeight="false" outlineLevel="0" collapsed="false">
      <c r="B8" s="41" t="s">
        <v>11</v>
      </c>
      <c r="C8" s="42" t="n">
        <v>46204</v>
      </c>
      <c r="D8" s="43" t="n">
        <v>0.479166666666667</v>
      </c>
      <c r="E8" s="41" t="s">
        <v>97</v>
      </c>
      <c r="F8" s="41" t="s">
        <v>88</v>
      </c>
      <c r="G8" s="41" t="n">
        <v>2</v>
      </c>
      <c r="H8" s="41" t="s">
        <v>94</v>
      </c>
      <c r="I8" s="44"/>
      <c r="J8" s="44" t="s">
        <v>96</v>
      </c>
    </row>
    <row r="9" customFormat="false" ht="15" hidden="false" customHeight="false" outlineLevel="0" collapsed="false">
      <c r="B9" s="41" t="s">
        <v>11</v>
      </c>
      <c r="C9" s="42" t="n">
        <v>46204</v>
      </c>
      <c r="D9" s="43" t="n">
        <v>0.583333333333333</v>
      </c>
      <c r="E9" s="41"/>
      <c r="F9" s="41" t="s">
        <v>88</v>
      </c>
      <c r="G9" s="41" t="n">
        <v>3</v>
      </c>
      <c r="H9" s="41" t="s">
        <v>23</v>
      </c>
      <c r="I9" s="44"/>
      <c r="J9" s="44" t="s">
        <v>96</v>
      </c>
    </row>
    <row r="10" customFormat="false" ht="15" hidden="false" customHeight="false" outlineLevel="0" collapsed="false">
      <c r="B10" s="41" t="s">
        <v>11</v>
      </c>
      <c r="C10" s="42" t="n">
        <v>46204</v>
      </c>
      <c r="D10" s="43" t="n">
        <v>0.708333333333333</v>
      </c>
      <c r="E10" s="41"/>
      <c r="F10" s="41" t="s">
        <v>88</v>
      </c>
      <c r="G10" s="41" t="n">
        <v>4</v>
      </c>
      <c r="H10" s="41" t="s">
        <v>24</v>
      </c>
      <c r="I10" s="44"/>
      <c r="J10" s="44" t="s">
        <v>96</v>
      </c>
    </row>
    <row r="11" customFormat="false" ht="15" hidden="false" customHeight="false" outlineLevel="0" collapsed="false">
      <c r="B11" s="41" t="s">
        <v>11</v>
      </c>
      <c r="C11" s="42" t="n">
        <v>46204</v>
      </c>
      <c r="D11" s="43" t="n">
        <v>0.833333333333333</v>
      </c>
      <c r="E11" s="41"/>
      <c r="F11" s="41" t="s">
        <v>88</v>
      </c>
      <c r="G11" s="41" t="n">
        <v>5</v>
      </c>
      <c r="H11" s="41" t="s">
        <v>98</v>
      </c>
      <c r="I11" s="44"/>
      <c r="J11" s="44" t="s">
        <v>96</v>
      </c>
    </row>
    <row r="12" customFormat="false" ht="15" hidden="false" customHeight="false" outlineLevel="0" collapsed="false">
      <c r="B12" s="41" t="s">
        <v>9</v>
      </c>
      <c r="C12" s="42" t="n">
        <v>46204</v>
      </c>
      <c r="D12" s="43" t="n">
        <v>0.416666666666667</v>
      </c>
      <c r="E12" s="41" t="s">
        <v>99</v>
      </c>
      <c r="F12" s="41" t="s">
        <v>88</v>
      </c>
      <c r="G12" s="41" t="n">
        <v>1</v>
      </c>
      <c r="H12" s="41" t="s">
        <v>94</v>
      </c>
      <c r="I12" s="44"/>
      <c r="J12" s="44" t="s">
        <v>100</v>
      </c>
    </row>
    <row r="13" customFormat="false" ht="15" hidden="false" customHeight="false" outlineLevel="0" collapsed="false">
      <c r="B13" s="41" t="s">
        <v>9</v>
      </c>
      <c r="C13" s="42" t="n">
        <v>46204</v>
      </c>
      <c r="D13" s="43" t="n">
        <v>0.479166666666667</v>
      </c>
      <c r="E13" s="41" t="s">
        <v>101</v>
      </c>
      <c r="F13" s="41" t="s">
        <v>88</v>
      </c>
      <c r="G13" s="41" t="n">
        <v>2</v>
      </c>
      <c r="H13" s="41" t="s">
        <v>94</v>
      </c>
      <c r="I13" s="44"/>
      <c r="J13" s="44" t="s">
        <v>100</v>
      </c>
    </row>
    <row r="14" customFormat="false" ht="15" hidden="false" customHeight="false" outlineLevel="0" collapsed="false">
      <c r="B14" s="41" t="s">
        <v>9</v>
      </c>
      <c r="C14" s="42" t="n">
        <v>46204</v>
      </c>
      <c r="D14" s="43" t="n">
        <v>0.583333333333333</v>
      </c>
      <c r="E14" s="41"/>
      <c r="F14" s="41" t="s">
        <v>88</v>
      </c>
      <c r="G14" s="41" t="n">
        <v>3</v>
      </c>
      <c r="H14" s="41" t="s">
        <v>23</v>
      </c>
      <c r="I14" s="44"/>
      <c r="J14" s="44" t="s">
        <v>100</v>
      </c>
    </row>
    <row r="15" customFormat="false" ht="15" hidden="false" customHeight="false" outlineLevel="0" collapsed="false">
      <c r="B15" s="41" t="s">
        <v>9</v>
      </c>
      <c r="C15" s="42" t="n">
        <v>46204</v>
      </c>
      <c r="D15" s="43" t="n">
        <v>0.666666666666667</v>
      </c>
      <c r="E15" s="41" t="s">
        <v>92</v>
      </c>
      <c r="F15" s="41" t="s">
        <v>88</v>
      </c>
      <c r="G15" s="41" t="n">
        <v>4</v>
      </c>
      <c r="H15" s="41"/>
      <c r="I15" s="44"/>
      <c r="J15" s="44" t="s">
        <v>100</v>
      </c>
    </row>
    <row r="16" customFormat="false" ht="15" hidden="false" customHeight="false" outlineLevel="0" collapsed="false">
      <c r="B16" s="41" t="s">
        <v>9</v>
      </c>
      <c r="C16" s="42" t="n">
        <v>46204</v>
      </c>
      <c r="D16" s="43" t="n">
        <v>0.75</v>
      </c>
      <c r="E16" s="41" t="s">
        <v>92</v>
      </c>
      <c r="F16" s="41" t="s">
        <v>88</v>
      </c>
      <c r="G16" s="41" t="n">
        <v>5</v>
      </c>
      <c r="H16" s="41"/>
      <c r="I16" s="44"/>
      <c r="J16" s="44" t="s">
        <v>100</v>
      </c>
    </row>
    <row r="17" customFormat="false" ht="15" hidden="false" customHeight="false" outlineLevel="0" collapsed="false">
      <c r="B17" s="41" t="s">
        <v>9</v>
      </c>
      <c r="C17" s="42" t="n">
        <v>46204</v>
      </c>
      <c r="D17" s="43" t="n">
        <v>0.833333333333333</v>
      </c>
      <c r="E17" s="41"/>
      <c r="F17" s="41" t="s">
        <v>88</v>
      </c>
      <c r="G17" s="41" t="n">
        <v>6</v>
      </c>
      <c r="H17" s="41" t="s">
        <v>98</v>
      </c>
      <c r="I17" s="44"/>
      <c r="J17" s="44" t="s">
        <v>100</v>
      </c>
    </row>
    <row r="18" customFormat="false" ht="15" hidden="false" customHeight="false" outlineLevel="0" collapsed="false">
      <c r="B18" s="41" t="s">
        <v>14</v>
      </c>
      <c r="C18" s="42" t="n">
        <v>46204</v>
      </c>
      <c r="D18" s="43" t="n">
        <v>0.520833333333333</v>
      </c>
      <c r="E18" s="41" t="s">
        <v>102</v>
      </c>
      <c r="F18" s="41" t="s">
        <v>88</v>
      </c>
      <c r="G18" s="41" t="n">
        <v>1</v>
      </c>
      <c r="H18" s="41" t="s">
        <v>103</v>
      </c>
      <c r="I18" s="44"/>
      <c r="J18" s="44" t="s">
        <v>104</v>
      </c>
    </row>
    <row r="19" customFormat="false" ht="15" hidden="false" customHeight="false" outlineLevel="0" collapsed="false">
      <c r="B19" s="41" t="s">
        <v>16</v>
      </c>
      <c r="C19" s="42" t="n">
        <v>46204</v>
      </c>
      <c r="D19" s="43" t="n">
        <v>0.333333333333333</v>
      </c>
      <c r="E19" s="41"/>
      <c r="F19" s="41" t="s">
        <v>88</v>
      </c>
      <c r="G19" s="41" t="n">
        <v>1</v>
      </c>
      <c r="H19" s="41"/>
      <c r="I19" s="44"/>
      <c r="J19" s="44" t="s">
        <v>105</v>
      </c>
    </row>
    <row r="20" customFormat="false" ht="15" hidden="false" customHeight="false" outlineLevel="0" collapsed="false">
      <c r="B20" s="41" t="s">
        <v>16</v>
      </c>
      <c r="C20" s="42" t="n">
        <v>46204</v>
      </c>
      <c r="D20" s="43" t="n">
        <v>0.5</v>
      </c>
      <c r="E20" s="41"/>
      <c r="F20" s="41" t="s">
        <v>88</v>
      </c>
      <c r="G20" s="41" t="n">
        <v>2</v>
      </c>
      <c r="H20" s="41"/>
      <c r="I20" s="44"/>
      <c r="J20" s="44" t="s">
        <v>105</v>
      </c>
    </row>
    <row r="21" customFormat="false" ht="15" hidden="false" customHeight="false" outlineLevel="0" collapsed="false">
      <c r="B21" s="41" t="s">
        <v>16</v>
      </c>
      <c r="C21" s="42" t="n">
        <v>46204</v>
      </c>
      <c r="D21" s="43" t="n">
        <v>0.583333333333333</v>
      </c>
      <c r="E21" s="41"/>
      <c r="F21" s="41" t="s">
        <v>88</v>
      </c>
      <c r="G21" s="41" t="n">
        <v>3</v>
      </c>
      <c r="H21" s="41" t="s">
        <v>106</v>
      </c>
      <c r="I21" s="44"/>
      <c r="J21" s="44" t="s">
        <v>105</v>
      </c>
    </row>
    <row r="22" customFormat="false" ht="15" hidden="false" customHeight="false" outlineLevel="0" collapsed="false">
      <c r="B22" s="41" t="s">
        <v>16</v>
      </c>
      <c r="C22" s="42" t="n">
        <v>46204</v>
      </c>
      <c r="D22" s="43" t="n">
        <v>0.666666666666667</v>
      </c>
      <c r="E22" s="41"/>
      <c r="F22" s="41" t="s">
        <v>88</v>
      </c>
      <c r="G22" s="41" t="n">
        <v>4</v>
      </c>
      <c r="H22" s="41" t="s">
        <v>106</v>
      </c>
      <c r="I22" s="44"/>
      <c r="J22" s="44" t="s">
        <v>105</v>
      </c>
    </row>
    <row r="23" customFormat="false" ht="15" hidden="false" customHeight="false" outlineLevel="0" collapsed="false">
      <c r="B23" s="41" t="s">
        <v>16</v>
      </c>
      <c r="C23" s="42" t="n">
        <v>46204</v>
      </c>
      <c r="D23" s="43" t="n">
        <v>0.75</v>
      </c>
      <c r="E23" s="41"/>
      <c r="F23" s="41" t="s">
        <v>88</v>
      </c>
      <c r="G23" s="41" t="n">
        <v>5</v>
      </c>
      <c r="H23" s="41" t="s">
        <v>106</v>
      </c>
      <c r="I23" s="44"/>
      <c r="J23" s="44" t="s">
        <v>105</v>
      </c>
    </row>
    <row r="24" customFormat="false" ht="15" hidden="false" customHeight="false" outlineLevel="0" collapsed="false">
      <c r="B24" s="41" t="s">
        <v>8</v>
      </c>
      <c r="C24" s="42" t="n">
        <v>46204</v>
      </c>
      <c r="D24" s="43" t="n">
        <v>0.34375</v>
      </c>
      <c r="E24" s="41" t="s">
        <v>93</v>
      </c>
      <c r="F24" s="41" t="s">
        <v>88</v>
      </c>
      <c r="G24" s="41" t="n">
        <v>1</v>
      </c>
      <c r="H24" s="41" t="s">
        <v>94</v>
      </c>
      <c r="I24" s="44"/>
      <c r="J24" s="44" t="s">
        <v>107</v>
      </c>
    </row>
    <row r="25" customFormat="false" ht="15" hidden="false" customHeight="false" outlineLevel="0" collapsed="false">
      <c r="B25" s="41" t="s">
        <v>8</v>
      </c>
      <c r="C25" s="42" t="n">
        <v>46204</v>
      </c>
      <c r="D25" s="43" t="n">
        <v>0.385416666666667</v>
      </c>
      <c r="E25" s="41" t="s">
        <v>108</v>
      </c>
      <c r="F25" s="41" t="s">
        <v>88</v>
      </c>
      <c r="G25" s="41" t="n">
        <v>2</v>
      </c>
      <c r="H25" s="41" t="s">
        <v>94</v>
      </c>
      <c r="I25" s="44"/>
      <c r="J25" s="44" t="s">
        <v>107</v>
      </c>
    </row>
    <row r="26" customFormat="false" ht="15" hidden="false" customHeight="false" outlineLevel="0" collapsed="false">
      <c r="B26" s="41" t="s">
        <v>8</v>
      </c>
      <c r="C26" s="42" t="n">
        <v>46204</v>
      </c>
      <c r="D26" s="43" t="n">
        <v>0.479166666666667</v>
      </c>
      <c r="E26" s="41" t="s">
        <v>109</v>
      </c>
      <c r="F26" s="41" t="s">
        <v>88</v>
      </c>
      <c r="G26" s="41" t="n">
        <v>3</v>
      </c>
      <c r="H26" s="41" t="s">
        <v>94</v>
      </c>
      <c r="I26" s="44"/>
      <c r="J26" s="44" t="s">
        <v>107</v>
      </c>
    </row>
    <row r="27" customFormat="false" ht="15" hidden="false" customHeight="false" outlineLevel="0" collapsed="false">
      <c r="B27" s="41" t="s">
        <v>8</v>
      </c>
      <c r="C27" s="42" t="n">
        <v>46204</v>
      </c>
      <c r="D27" s="43" t="n">
        <v>0.520833333333333</v>
      </c>
      <c r="E27" s="41"/>
      <c r="F27" s="41" t="s">
        <v>88</v>
      </c>
      <c r="G27" s="41" t="n">
        <v>4</v>
      </c>
      <c r="H27" s="41" t="s">
        <v>22</v>
      </c>
      <c r="I27" s="44"/>
      <c r="J27" s="44" t="s">
        <v>107</v>
      </c>
    </row>
    <row r="28" customFormat="false" ht="15" hidden="false" customHeight="false" outlineLevel="0" collapsed="false">
      <c r="B28" s="41" t="s">
        <v>8</v>
      </c>
      <c r="C28" s="42" t="n">
        <v>46204</v>
      </c>
      <c r="D28" s="43" t="n">
        <v>0.604166666666667</v>
      </c>
      <c r="E28" s="41"/>
      <c r="F28" s="41" t="s">
        <v>88</v>
      </c>
      <c r="G28" s="41" t="n">
        <v>5</v>
      </c>
      <c r="H28" s="41" t="s">
        <v>23</v>
      </c>
      <c r="I28" s="44"/>
      <c r="J28" s="44" t="s">
        <v>107</v>
      </c>
    </row>
    <row r="29" customFormat="false" ht="15" hidden="false" customHeight="false" outlineLevel="0" collapsed="false">
      <c r="B29" s="41" t="s">
        <v>8</v>
      </c>
      <c r="C29" s="42" t="n">
        <v>46204</v>
      </c>
      <c r="D29" s="43" t="n">
        <v>0.708333333333333</v>
      </c>
      <c r="E29" s="41"/>
      <c r="F29" s="41" t="s">
        <v>88</v>
      </c>
      <c r="G29" s="41" t="n">
        <v>6</v>
      </c>
      <c r="H29" s="41" t="s">
        <v>24</v>
      </c>
      <c r="I29" s="44"/>
      <c r="J29" s="44" t="s">
        <v>107</v>
      </c>
    </row>
    <row r="30" customFormat="false" ht="15" hidden="false" customHeight="false" outlineLevel="0" collapsed="false">
      <c r="B30" s="41" t="s">
        <v>8</v>
      </c>
      <c r="C30" s="42" t="n">
        <v>46204</v>
      </c>
      <c r="D30" s="43" t="n">
        <v>0.833333333333333</v>
      </c>
      <c r="E30" s="41"/>
      <c r="F30" s="41" t="s">
        <v>88</v>
      </c>
      <c r="G30" s="41" t="n">
        <v>7</v>
      </c>
      <c r="H30" s="41" t="s">
        <v>98</v>
      </c>
      <c r="I30" s="44"/>
      <c r="J30" s="44" t="s">
        <v>107</v>
      </c>
    </row>
    <row r="31" customFormat="false" ht="15" hidden="false" customHeight="false" outlineLevel="0" collapsed="false">
      <c r="B31" s="41" t="s">
        <v>18</v>
      </c>
      <c r="C31" s="42" t="n">
        <v>46204</v>
      </c>
      <c r="D31" s="43"/>
      <c r="E31" s="41"/>
      <c r="F31" s="41" t="s">
        <v>88</v>
      </c>
      <c r="G31" s="41" t="n">
        <v>1</v>
      </c>
      <c r="H31" s="41" t="s">
        <v>110</v>
      </c>
      <c r="I31" s="44" t="s">
        <v>111</v>
      </c>
      <c r="J31" s="44" t="s">
        <v>112</v>
      </c>
    </row>
    <row r="32" customFormat="false" ht="15" hidden="false" customHeight="false" outlineLevel="0" collapsed="false">
      <c r="B32" s="41" t="s">
        <v>12</v>
      </c>
      <c r="C32" s="42" t="n">
        <v>46204</v>
      </c>
      <c r="D32" s="43" t="n">
        <v>0.416666666666667</v>
      </c>
      <c r="E32" s="41"/>
      <c r="F32" s="41" t="s">
        <v>88</v>
      </c>
      <c r="G32" s="41" t="n">
        <v>1</v>
      </c>
      <c r="H32" s="41" t="s">
        <v>113</v>
      </c>
      <c r="I32" s="44" t="s">
        <v>114</v>
      </c>
      <c r="J32" s="44" t="s">
        <v>115</v>
      </c>
    </row>
    <row r="33" customFormat="false" ht="15" hidden="false" customHeight="false" outlineLevel="0" collapsed="false">
      <c r="B33" s="41" t="s">
        <v>12</v>
      </c>
      <c r="C33" s="42" t="n">
        <v>46204</v>
      </c>
      <c r="D33" s="43" t="n">
        <v>0.5</v>
      </c>
      <c r="E33" s="41"/>
      <c r="F33" s="41" t="s">
        <v>88</v>
      </c>
      <c r="G33" s="41" t="n">
        <v>2</v>
      </c>
      <c r="H33" s="41" t="s">
        <v>113</v>
      </c>
      <c r="I33" s="44"/>
      <c r="J33" s="44" t="s">
        <v>115</v>
      </c>
    </row>
    <row r="34" customFormat="false" ht="15" hidden="false" customHeight="false" outlineLevel="0" collapsed="false">
      <c r="B34" s="41" t="s">
        <v>12</v>
      </c>
      <c r="C34" s="42" t="n">
        <v>46204</v>
      </c>
      <c r="D34" s="43" t="n">
        <v>0.541666666666667</v>
      </c>
      <c r="E34" s="41"/>
      <c r="F34" s="41" t="s">
        <v>88</v>
      </c>
      <c r="G34" s="41" t="n">
        <v>3</v>
      </c>
      <c r="H34" s="41" t="s">
        <v>12</v>
      </c>
      <c r="I34" s="44"/>
      <c r="J34" s="44" t="s">
        <v>115</v>
      </c>
    </row>
    <row r="35" customFormat="false" ht="15" hidden="false" customHeight="false" outlineLevel="0" collapsed="false">
      <c r="B35" s="41" t="s">
        <v>12</v>
      </c>
      <c r="C35" s="42" t="n">
        <v>46204</v>
      </c>
      <c r="D35" s="43" t="n">
        <v>0.625</v>
      </c>
      <c r="E35" s="41"/>
      <c r="F35" s="41" t="s">
        <v>88</v>
      </c>
      <c r="G35" s="41" t="n">
        <v>4</v>
      </c>
      <c r="H35" s="41" t="s">
        <v>12</v>
      </c>
      <c r="I35" s="44"/>
      <c r="J35" s="44" t="s">
        <v>115</v>
      </c>
    </row>
    <row r="36" customFormat="false" ht="15" hidden="false" customHeight="false" outlineLevel="0" collapsed="false">
      <c r="B36" s="41" t="s">
        <v>17</v>
      </c>
      <c r="C36" s="42" t="n">
        <v>46205</v>
      </c>
      <c r="D36" s="43" t="n">
        <v>0.583333333333333</v>
      </c>
      <c r="E36" s="41"/>
      <c r="F36" s="41" t="s">
        <v>88</v>
      </c>
      <c r="G36" s="41" t="n">
        <v>1</v>
      </c>
      <c r="H36" s="41" t="s">
        <v>89</v>
      </c>
      <c r="I36" s="44" t="s">
        <v>116</v>
      </c>
      <c r="J36" s="44" t="s">
        <v>91</v>
      </c>
    </row>
    <row r="37" customFormat="false" ht="15" hidden="false" customHeight="false" outlineLevel="0" collapsed="false">
      <c r="B37" s="41" t="s">
        <v>11</v>
      </c>
      <c r="C37" s="42" t="n">
        <v>46205</v>
      </c>
      <c r="D37" s="43" t="n">
        <v>0.34375</v>
      </c>
      <c r="E37" s="41" t="s">
        <v>93</v>
      </c>
      <c r="F37" s="41" t="s">
        <v>88</v>
      </c>
      <c r="G37" s="41" t="n">
        <v>1</v>
      </c>
      <c r="H37" s="41"/>
      <c r="I37" s="44" t="s">
        <v>95</v>
      </c>
      <c r="J37" s="44" t="s">
        <v>96</v>
      </c>
    </row>
    <row r="38" customFormat="false" ht="15" hidden="false" customHeight="false" outlineLevel="0" collapsed="false">
      <c r="B38" s="41" t="s">
        <v>11</v>
      </c>
      <c r="C38" s="42" t="n">
        <v>46205</v>
      </c>
      <c r="D38" s="43" t="n">
        <v>0.479166666666667</v>
      </c>
      <c r="E38" s="41" t="s">
        <v>97</v>
      </c>
      <c r="F38" s="41" t="s">
        <v>88</v>
      </c>
      <c r="G38" s="41" t="n">
        <v>2</v>
      </c>
      <c r="H38" s="41"/>
      <c r="I38" s="44"/>
      <c r="J38" s="44" t="s">
        <v>96</v>
      </c>
    </row>
    <row r="39" customFormat="false" ht="15" hidden="false" customHeight="false" outlineLevel="0" collapsed="false">
      <c r="B39" s="41" t="s">
        <v>11</v>
      </c>
      <c r="C39" s="42" t="n">
        <v>46205</v>
      </c>
      <c r="D39" s="43" t="n">
        <v>0.541666666666667</v>
      </c>
      <c r="E39" s="41"/>
      <c r="F39" s="41" t="s">
        <v>88</v>
      </c>
      <c r="G39" s="41" t="n">
        <v>3</v>
      </c>
      <c r="H39" s="41" t="s">
        <v>23</v>
      </c>
      <c r="I39" s="44"/>
      <c r="J39" s="44" t="s">
        <v>96</v>
      </c>
    </row>
    <row r="40" customFormat="false" ht="15" hidden="false" customHeight="false" outlineLevel="0" collapsed="false">
      <c r="B40" s="41" t="s">
        <v>11</v>
      </c>
      <c r="C40" s="42" t="n">
        <v>46205</v>
      </c>
      <c r="D40" s="43" t="n">
        <v>0.708333333333333</v>
      </c>
      <c r="E40" s="41"/>
      <c r="F40" s="41" t="s">
        <v>88</v>
      </c>
      <c r="G40" s="41" t="n">
        <v>4</v>
      </c>
      <c r="H40" s="41" t="s">
        <v>24</v>
      </c>
      <c r="I40" s="44"/>
      <c r="J40" s="44" t="s">
        <v>96</v>
      </c>
    </row>
    <row r="41" customFormat="false" ht="15" hidden="false" customHeight="false" outlineLevel="0" collapsed="false">
      <c r="B41" s="41" t="s">
        <v>11</v>
      </c>
      <c r="C41" s="42" t="n">
        <v>46205</v>
      </c>
      <c r="D41" s="43" t="n">
        <v>0.833333333333333</v>
      </c>
      <c r="E41" s="41"/>
      <c r="F41" s="41" t="s">
        <v>88</v>
      </c>
      <c r="G41" s="41" t="n">
        <v>5</v>
      </c>
      <c r="H41" s="41" t="s">
        <v>98</v>
      </c>
      <c r="I41" s="44"/>
      <c r="J41" s="44" t="s">
        <v>96</v>
      </c>
    </row>
    <row r="42" customFormat="false" ht="15" hidden="false" customHeight="false" outlineLevel="0" collapsed="false">
      <c r="B42" s="41" t="s">
        <v>9</v>
      </c>
      <c r="C42" s="42" t="n">
        <v>46205</v>
      </c>
      <c r="D42" s="43" t="n">
        <v>0.354166666666667</v>
      </c>
      <c r="E42" s="41" t="s">
        <v>93</v>
      </c>
      <c r="F42" s="41" t="s">
        <v>88</v>
      </c>
      <c r="G42" s="41" t="n">
        <v>1</v>
      </c>
      <c r="H42" s="41"/>
      <c r="I42" s="44"/>
      <c r="J42" s="44" t="s">
        <v>100</v>
      </c>
    </row>
    <row r="43" customFormat="false" ht="15" hidden="false" customHeight="false" outlineLevel="0" collapsed="false">
      <c r="B43" s="41" t="s">
        <v>9</v>
      </c>
      <c r="C43" s="42" t="n">
        <v>46205</v>
      </c>
      <c r="D43" s="43" t="n">
        <v>0.458333333333333</v>
      </c>
      <c r="E43" s="41" t="s">
        <v>97</v>
      </c>
      <c r="F43" s="41" t="s">
        <v>88</v>
      </c>
      <c r="G43" s="41" t="n">
        <v>2</v>
      </c>
      <c r="H43" s="41"/>
      <c r="I43" s="44"/>
      <c r="J43" s="44" t="s">
        <v>100</v>
      </c>
    </row>
    <row r="44" customFormat="false" ht="15" hidden="false" customHeight="false" outlineLevel="0" collapsed="false">
      <c r="B44" s="41" t="s">
        <v>9</v>
      </c>
      <c r="C44" s="42" t="n">
        <v>46205</v>
      </c>
      <c r="D44" s="43" t="n">
        <v>0.583333333333333</v>
      </c>
      <c r="E44" s="41"/>
      <c r="F44" s="41" t="s">
        <v>88</v>
      </c>
      <c r="G44" s="41" t="n">
        <v>3</v>
      </c>
      <c r="H44" s="41" t="s">
        <v>23</v>
      </c>
      <c r="I44" s="44"/>
      <c r="J44" s="44" t="s">
        <v>100</v>
      </c>
    </row>
    <row r="45" customFormat="false" ht="15" hidden="false" customHeight="false" outlineLevel="0" collapsed="false">
      <c r="B45" s="41" t="s">
        <v>9</v>
      </c>
      <c r="C45" s="42" t="n">
        <v>46205</v>
      </c>
      <c r="D45" s="43" t="n">
        <v>0.708333333333333</v>
      </c>
      <c r="E45" s="41"/>
      <c r="F45" s="41" t="s">
        <v>88</v>
      </c>
      <c r="G45" s="41" t="n">
        <v>4</v>
      </c>
      <c r="H45" s="41" t="s">
        <v>24</v>
      </c>
      <c r="I45" s="44"/>
      <c r="J45" s="44" t="s">
        <v>100</v>
      </c>
    </row>
    <row r="46" customFormat="false" ht="15" hidden="false" customHeight="false" outlineLevel="0" collapsed="false">
      <c r="B46" s="41" t="s">
        <v>9</v>
      </c>
      <c r="C46" s="42" t="n">
        <v>46205</v>
      </c>
      <c r="D46" s="43" t="n">
        <v>0.833333333333333</v>
      </c>
      <c r="E46" s="41"/>
      <c r="F46" s="41" t="s">
        <v>88</v>
      </c>
      <c r="G46" s="41" t="n">
        <v>5</v>
      </c>
      <c r="H46" s="41" t="s">
        <v>98</v>
      </c>
      <c r="I46" s="44"/>
      <c r="J46" s="44" t="s">
        <v>100</v>
      </c>
    </row>
    <row r="47" customFormat="false" ht="15" hidden="false" customHeight="false" outlineLevel="0" collapsed="false">
      <c r="B47" s="41" t="s">
        <v>14</v>
      </c>
      <c r="C47" s="42" t="n">
        <v>46205</v>
      </c>
      <c r="D47" s="43" t="n">
        <v>0.520833333333333</v>
      </c>
      <c r="E47" s="41" t="s">
        <v>102</v>
      </c>
      <c r="F47" s="41" t="s">
        <v>88</v>
      </c>
      <c r="G47" s="41" t="n">
        <v>1</v>
      </c>
      <c r="H47" s="41" t="s">
        <v>103</v>
      </c>
      <c r="I47" s="44"/>
      <c r="J47" s="44" t="s">
        <v>104</v>
      </c>
    </row>
    <row r="48" customFormat="false" ht="15" hidden="false" customHeight="false" outlineLevel="0" collapsed="false">
      <c r="B48" s="41" t="s">
        <v>16</v>
      </c>
      <c r="C48" s="42" t="n">
        <v>46205</v>
      </c>
      <c r="D48" s="43" t="n">
        <v>0.333333333333333</v>
      </c>
      <c r="E48" s="41"/>
      <c r="F48" s="41" t="s">
        <v>88</v>
      </c>
      <c r="G48" s="41" t="n">
        <v>1</v>
      </c>
      <c r="H48" s="41"/>
      <c r="I48" s="44"/>
      <c r="J48" s="44" t="s">
        <v>105</v>
      </c>
    </row>
    <row r="49" customFormat="false" ht="15" hidden="false" customHeight="false" outlineLevel="0" collapsed="false">
      <c r="B49" s="41" t="s">
        <v>16</v>
      </c>
      <c r="C49" s="42" t="n">
        <v>46205</v>
      </c>
      <c r="D49" s="43" t="n">
        <v>0.5</v>
      </c>
      <c r="E49" s="41"/>
      <c r="F49" s="41" t="s">
        <v>88</v>
      </c>
      <c r="G49" s="41" t="n">
        <v>2</v>
      </c>
      <c r="H49" s="41"/>
      <c r="I49" s="44"/>
      <c r="J49" s="44" t="s">
        <v>105</v>
      </c>
    </row>
    <row r="50" customFormat="false" ht="15" hidden="false" customHeight="false" outlineLevel="0" collapsed="false">
      <c r="B50" s="41" t="s">
        <v>16</v>
      </c>
      <c r="C50" s="42" t="n">
        <v>46205</v>
      </c>
      <c r="D50" s="43" t="n">
        <v>0.583333333333333</v>
      </c>
      <c r="E50" s="41"/>
      <c r="F50" s="41" t="s">
        <v>88</v>
      </c>
      <c r="G50" s="41" t="n">
        <v>3</v>
      </c>
      <c r="H50" s="41" t="s">
        <v>106</v>
      </c>
      <c r="I50" s="44"/>
      <c r="J50" s="44" t="s">
        <v>105</v>
      </c>
    </row>
    <row r="51" customFormat="false" ht="15" hidden="false" customHeight="false" outlineLevel="0" collapsed="false">
      <c r="B51" s="41" t="s">
        <v>16</v>
      </c>
      <c r="C51" s="42" t="n">
        <v>46205</v>
      </c>
      <c r="D51" s="43" t="n">
        <v>0.666666666666667</v>
      </c>
      <c r="E51" s="41"/>
      <c r="F51" s="41" t="s">
        <v>88</v>
      </c>
      <c r="G51" s="41" t="n">
        <v>4</v>
      </c>
      <c r="H51" s="41" t="s">
        <v>106</v>
      </c>
      <c r="I51" s="44"/>
      <c r="J51" s="44" t="s">
        <v>105</v>
      </c>
    </row>
    <row r="52" customFormat="false" ht="15" hidden="false" customHeight="false" outlineLevel="0" collapsed="false">
      <c r="B52" s="41" t="s">
        <v>16</v>
      </c>
      <c r="C52" s="42" t="n">
        <v>46205</v>
      </c>
      <c r="D52" s="43" t="n">
        <v>0.75</v>
      </c>
      <c r="E52" s="41"/>
      <c r="F52" s="41" t="s">
        <v>88</v>
      </c>
      <c r="G52" s="41" t="n">
        <v>5</v>
      </c>
      <c r="H52" s="41" t="s">
        <v>106</v>
      </c>
      <c r="I52" s="44"/>
      <c r="J52" s="44" t="s">
        <v>105</v>
      </c>
    </row>
    <row r="53" customFormat="false" ht="15" hidden="false" customHeight="false" outlineLevel="0" collapsed="false">
      <c r="B53" s="41" t="s">
        <v>8</v>
      </c>
      <c r="C53" s="42" t="n">
        <v>46205</v>
      </c>
      <c r="D53" s="43" t="n">
        <v>0.354166666666667</v>
      </c>
      <c r="E53" s="41" t="s">
        <v>93</v>
      </c>
      <c r="F53" s="41" t="s">
        <v>88</v>
      </c>
      <c r="G53" s="41" t="n">
        <v>1</v>
      </c>
      <c r="H53" s="41"/>
      <c r="I53" s="44"/>
      <c r="J53" s="44" t="s">
        <v>107</v>
      </c>
    </row>
    <row r="54" customFormat="false" ht="15" hidden="false" customHeight="false" outlineLevel="0" collapsed="false">
      <c r="B54" s="41" t="s">
        <v>8</v>
      </c>
      <c r="C54" s="42" t="n">
        <v>46205</v>
      </c>
      <c r="D54" s="43" t="n">
        <v>0.458333333333333</v>
      </c>
      <c r="E54" s="41" t="s">
        <v>97</v>
      </c>
      <c r="F54" s="41" t="s">
        <v>88</v>
      </c>
      <c r="G54" s="41" t="n">
        <v>2</v>
      </c>
      <c r="H54" s="41"/>
      <c r="I54" s="44"/>
      <c r="J54" s="44" t="s">
        <v>107</v>
      </c>
    </row>
    <row r="55" customFormat="false" ht="15" hidden="false" customHeight="false" outlineLevel="0" collapsed="false">
      <c r="B55" s="41" t="s">
        <v>8</v>
      </c>
      <c r="C55" s="42" t="n">
        <v>46205</v>
      </c>
      <c r="D55" s="43" t="n">
        <v>0.520833333333333</v>
      </c>
      <c r="E55" s="41"/>
      <c r="F55" s="41" t="s">
        <v>88</v>
      </c>
      <c r="G55" s="41" t="n">
        <v>3</v>
      </c>
      <c r="H55" s="41" t="s">
        <v>22</v>
      </c>
      <c r="I55" s="44"/>
      <c r="J55" s="44" t="s">
        <v>107</v>
      </c>
    </row>
    <row r="56" customFormat="false" ht="15" hidden="false" customHeight="false" outlineLevel="0" collapsed="false">
      <c r="B56" s="41" t="s">
        <v>8</v>
      </c>
      <c r="C56" s="42" t="n">
        <v>46205</v>
      </c>
      <c r="D56" s="43" t="n">
        <v>0.5625</v>
      </c>
      <c r="E56" s="41"/>
      <c r="F56" s="41" t="s">
        <v>88</v>
      </c>
      <c r="G56" s="41" t="n">
        <v>4</v>
      </c>
      <c r="H56" s="41" t="s">
        <v>23</v>
      </c>
      <c r="I56" s="44"/>
      <c r="J56" s="44" t="s">
        <v>107</v>
      </c>
    </row>
    <row r="57" customFormat="false" ht="15" hidden="false" customHeight="false" outlineLevel="0" collapsed="false">
      <c r="B57" s="41" t="s">
        <v>8</v>
      </c>
      <c r="C57" s="42" t="n">
        <v>46205</v>
      </c>
      <c r="D57" s="43" t="n">
        <v>0.708333333333333</v>
      </c>
      <c r="E57" s="41"/>
      <c r="F57" s="41" t="s">
        <v>88</v>
      </c>
      <c r="G57" s="41" t="n">
        <v>5</v>
      </c>
      <c r="H57" s="41" t="s">
        <v>24</v>
      </c>
      <c r="I57" s="44"/>
      <c r="J57" s="44" t="s">
        <v>107</v>
      </c>
    </row>
    <row r="58" customFormat="false" ht="15" hidden="false" customHeight="false" outlineLevel="0" collapsed="false">
      <c r="B58" s="41" t="s">
        <v>8</v>
      </c>
      <c r="C58" s="42" t="n">
        <v>46205</v>
      </c>
      <c r="D58" s="43" t="n">
        <v>0.833333333333333</v>
      </c>
      <c r="E58" s="41"/>
      <c r="F58" s="41" t="s">
        <v>88</v>
      </c>
      <c r="G58" s="41" t="n">
        <v>6</v>
      </c>
      <c r="H58" s="41" t="s">
        <v>98</v>
      </c>
      <c r="I58" s="44"/>
      <c r="J58" s="44" t="s">
        <v>107</v>
      </c>
    </row>
    <row r="59" customFormat="false" ht="15" hidden="false" customHeight="false" outlineLevel="0" collapsed="false">
      <c r="B59" s="41" t="s">
        <v>18</v>
      </c>
      <c r="C59" s="42" t="n">
        <v>46205</v>
      </c>
      <c r="D59" s="43"/>
      <c r="E59" s="41"/>
      <c r="F59" s="41" t="s">
        <v>88</v>
      </c>
      <c r="G59" s="41" t="n">
        <v>1</v>
      </c>
      <c r="H59" s="41" t="s">
        <v>117</v>
      </c>
      <c r="I59" s="44" t="s">
        <v>118</v>
      </c>
      <c r="J59" s="44" t="s">
        <v>112</v>
      </c>
    </row>
    <row r="60" customFormat="false" ht="15" hidden="false" customHeight="false" outlineLevel="0" collapsed="false">
      <c r="B60" s="41" t="s">
        <v>12</v>
      </c>
      <c r="C60" s="42" t="n">
        <v>46205</v>
      </c>
      <c r="D60" s="43" t="n">
        <v>0.375</v>
      </c>
      <c r="E60" s="41"/>
      <c r="F60" s="41" t="s">
        <v>88</v>
      </c>
      <c r="G60" s="41" t="n">
        <v>1</v>
      </c>
      <c r="H60" s="41" t="s">
        <v>12</v>
      </c>
      <c r="I60" s="44" t="s">
        <v>114</v>
      </c>
      <c r="J60" s="44" t="s">
        <v>115</v>
      </c>
    </row>
    <row r="61" customFormat="false" ht="15" hidden="false" customHeight="false" outlineLevel="0" collapsed="false">
      <c r="B61" s="41" t="s">
        <v>12</v>
      </c>
      <c r="C61" s="42" t="n">
        <v>46205</v>
      </c>
      <c r="D61" s="43" t="n">
        <v>0.416666666666667</v>
      </c>
      <c r="E61" s="41"/>
      <c r="F61" s="41" t="s">
        <v>88</v>
      </c>
      <c r="G61" s="41" t="n">
        <v>2</v>
      </c>
      <c r="H61" s="41" t="s">
        <v>12</v>
      </c>
      <c r="I61" s="44"/>
      <c r="J61" s="44" t="s">
        <v>115</v>
      </c>
    </row>
    <row r="62" customFormat="false" ht="15" hidden="false" customHeight="false" outlineLevel="0" collapsed="false">
      <c r="B62" s="41" t="s">
        <v>12</v>
      </c>
      <c r="C62" s="42" t="n">
        <v>46205</v>
      </c>
      <c r="D62" s="43" t="n">
        <v>0.541666666666667</v>
      </c>
      <c r="E62" s="41"/>
      <c r="F62" s="41" t="s">
        <v>88</v>
      </c>
      <c r="G62" s="41" t="n">
        <v>3</v>
      </c>
      <c r="H62" s="41" t="s">
        <v>113</v>
      </c>
      <c r="I62" s="44"/>
      <c r="J62" s="44" t="s">
        <v>115</v>
      </c>
    </row>
    <row r="63" customFormat="false" ht="15" hidden="false" customHeight="false" outlineLevel="0" collapsed="false">
      <c r="B63" s="41" t="s">
        <v>12</v>
      </c>
      <c r="C63" s="42" t="n">
        <v>46205</v>
      </c>
      <c r="D63" s="43" t="n">
        <v>0.625</v>
      </c>
      <c r="E63" s="41"/>
      <c r="F63" s="41" t="s">
        <v>88</v>
      </c>
      <c r="G63" s="41" t="n">
        <v>4</v>
      </c>
      <c r="H63" s="41" t="s">
        <v>12</v>
      </c>
      <c r="I63" s="44"/>
      <c r="J63" s="44" t="s">
        <v>115</v>
      </c>
    </row>
    <row r="64" customFormat="false" ht="15" hidden="false" customHeight="false" outlineLevel="0" collapsed="false">
      <c r="B64" s="41" t="s">
        <v>16</v>
      </c>
      <c r="C64" s="42" t="n">
        <v>46206</v>
      </c>
      <c r="D64" s="43" t="n">
        <v>0.333333333333333</v>
      </c>
      <c r="E64" s="41"/>
      <c r="F64" s="41" t="s">
        <v>88</v>
      </c>
      <c r="G64" s="41" t="n">
        <v>1</v>
      </c>
      <c r="H64" s="41"/>
      <c r="I64" s="44"/>
      <c r="J64" s="44" t="s">
        <v>105</v>
      </c>
    </row>
    <row r="65" customFormat="false" ht="15" hidden="false" customHeight="false" outlineLevel="0" collapsed="false">
      <c r="B65" s="41" t="s">
        <v>16</v>
      </c>
      <c r="C65" s="42" t="n">
        <v>46206</v>
      </c>
      <c r="D65" s="43" t="n">
        <v>0.5</v>
      </c>
      <c r="E65" s="41"/>
      <c r="F65" s="41" t="s">
        <v>88</v>
      </c>
      <c r="G65" s="41" t="n">
        <v>2</v>
      </c>
      <c r="H65" s="41"/>
      <c r="I65" s="44"/>
      <c r="J65" s="44" t="s">
        <v>105</v>
      </c>
    </row>
    <row r="66" customFormat="false" ht="15" hidden="false" customHeight="false" outlineLevel="0" collapsed="false">
      <c r="B66" s="41" t="s">
        <v>16</v>
      </c>
      <c r="C66" s="42" t="n">
        <v>46206</v>
      </c>
      <c r="D66" s="43" t="n">
        <v>0.583333333333333</v>
      </c>
      <c r="E66" s="41"/>
      <c r="F66" s="41" t="s">
        <v>88</v>
      </c>
      <c r="G66" s="41" t="n">
        <v>3</v>
      </c>
      <c r="H66" s="41" t="s">
        <v>106</v>
      </c>
      <c r="I66" s="44"/>
      <c r="J66" s="44" t="s">
        <v>105</v>
      </c>
    </row>
    <row r="67" customFormat="false" ht="15" hidden="false" customHeight="false" outlineLevel="0" collapsed="false">
      <c r="B67" s="41" t="s">
        <v>16</v>
      </c>
      <c r="C67" s="42" t="n">
        <v>46206</v>
      </c>
      <c r="D67" s="43" t="n">
        <v>0.666666666666667</v>
      </c>
      <c r="E67" s="41"/>
      <c r="F67" s="41" t="s">
        <v>88</v>
      </c>
      <c r="G67" s="41" t="n">
        <v>4</v>
      </c>
      <c r="H67" s="41" t="s">
        <v>106</v>
      </c>
      <c r="I67" s="44"/>
      <c r="J67" s="44" t="s">
        <v>105</v>
      </c>
    </row>
    <row r="68" customFormat="false" ht="15" hidden="false" customHeight="false" outlineLevel="0" collapsed="false">
      <c r="B68" s="41" t="s">
        <v>16</v>
      </c>
      <c r="C68" s="42" t="n">
        <v>46206</v>
      </c>
      <c r="D68" s="43" t="n">
        <v>0.75</v>
      </c>
      <c r="E68" s="41"/>
      <c r="F68" s="41" t="s">
        <v>88</v>
      </c>
      <c r="G68" s="41" t="n">
        <v>5</v>
      </c>
      <c r="H68" s="41" t="s">
        <v>106</v>
      </c>
      <c r="I68" s="44"/>
      <c r="J68" s="44" t="s">
        <v>105</v>
      </c>
    </row>
    <row r="69" customFormat="false" ht="15" hidden="false" customHeight="false" outlineLevel="0" collapsed="false">
      <c r="B69" s="41" t="s">
        <v>16</v>
      </c>
      <c r="C69" s="42" t="n">
        <v>46206</v>
      </c>
      <c r="D69" s="43" t="n">
        <v>0.520833333333333</v>
      </c>
      <c r="E69" s="41"/>
      <c r="F69" s="41" t="s">
        <v>88</v>
      </c>
      <c r="G69" s="41" t="n">
        <v>6</v>
      </c>
      <c r="H69" s="41"/>
      <c r="I69" s="44"/>
      <c r="J69" s="44" t="s">
        <v>105</v>
      </c>
    </row>
    <row r="70" customFormat="false" ht="15" hidden="false" customHeight="false" outlineLevel="0" collapsed="false">
      <c r="B70" s="41" t="s">
        <v>16</v>
      </c>
      <c r="C70" s="42" t="n">
        <v>46206</v>
      </c>
      <c r="D70" s="43" t="n">
        <v>0.270833333333333</v>
      </c>
      <c r="E70" s="41"/>
      <c r="F70" s="41" t="s">
        <v>88</v>
      </c>
      <c r="G70" s="41" t="n">
        <v>7</v>
      </c>
      <c r="H70" s="41"/>
      <c r="I70" s="44"/>
      <c r="J70" s="44" t="s">
        <v>105</v>
      </c>
    </row>
    <row r="71" customFormat="false" ht="15" hidden="false" customHeight="false" outlineLevel="0" collapsed="false">
      <c r="B71" s="41" t="s">
        <v>18</v>
      </c>
      <c r="C71" s="42" t="n">
        <v>46206</v>
      </c>
      <c r="D71" s="43"/>
      <c r="E71" s="41"/>
      <c r="F71" s="41" t="s">
        <v>88</v>
      </c>
      <c r="G71" s="41" t="n">
        <v>1</v>
      </c>
      <c r="H71" s="41"/>
      <c r="I71" s="44" t="s">
        <v>119</v>
      </c>
      <c r="J71" s="44" t="s">
        <v>112</v>
      </c>
    </row>
    <row r="72" customFormat="false" ht="15" hidden="false" customHeight="false" outlineLevel="0" collapsed="false">
      <c r="B72" s="41" t="s">
        <v>15</v>
      </c>
      <c r="C72" s="42" t="n">
        <v>46207</v>
      </c>
      <c r="D72" s="43" t="n">
        <v>0.416666666666667</v>
      </c>
      <c r="E72" s="41"/>
      <c r="F72" s="41" t="s">
        <v>88</v>
      </c>
      <c r="G72" s="41" t="n">
        <v>1</v>
      </c>
      <c r="H72" s="41" t="s">
        <v>26</v>
      </c>
      <c r="I72" s="44"/>
      <c r="J72" s="44" t="s">
        <v>120</v>
      </c>
    </row>
    <row r="73" customFormat="false" ht="15" hidden="false" customHeight="false" outlineLevel="0" collapsed="false">
      <c r="B73" s="41" t="s">
        <v>16</v>
      </c>
      <c r="C73" s="42" t="n">
        <v>46207</v>
      </c>
      <c r="D73" s="43" t="n">
        <v>0.520833333333333</v>
      </c>
      <c r="E73" s="41"/>
      <c r="F73" s="41" t="s">
        <v>88</v>
      </c>
      <c r="G73" s="41" t="n">
        <v>1</v>
      </c>
      <c r="H73" s="41"/>
      <c r="I73" s="44" t="s">
        <v>121</v>
      </c>
      <c r="J73" s="44" t="s">
        <v>105</v>
      </c>
    </row>
    <row r="74" customFormat="false" ht="15" hidden="false" customHeight="false" outlineLevel="0" collapsed="false">
      <c r="B74" s="41" t="s">
        <v>16</v>
      </c>
      <c r="C74" s="42" t="n">
        <v>46207</v>
      </c>
      <c r="D74" s="43" t="n">
        <v>0.270833333333333</v>
      </c>
      <c r="E74" s="41"/>
      <c r="F74" s="41" t="s">
        <v>88</v>
      </c>
      <c r="G74" s="41" t="n">
        <v>2</v>
      </c>
      <c r="H74" s="41"/>
      <c r="I74" s="44"/>
      <c r="J74" s="44" t="s">
        <v>105</v>
      </c>
    </row>
    <row r="75" customFormat="false" ht="15" hidden="false" customHeight="false" outlineLevel="0" collapsed="false">
      <c r="B75" s="41" t="s">
        <v>16</v>
      </c>
      <c r="C75" s="42" t="n">
        <v>46208</v>
      </c>
      <c r="D75" s="43" t="n">
        <v>0.520833333333333</v>
      </c>
      <c r="E75" s="41"/>
      <c r="F75" s="41" t="s">
        <v>88</v>
      </c>
      <c r="G75" s="41" t="n">
        <v>1</v>
      </c>
      <c r="H75" s="41"/>
      <c r="I75" s="44"/>
      <c r="J75" s="44" t="s">
        <v>105</v>
      </c>
    </row>
    <row r="76" customFormat="false" ht="15" hidden="false" customHeight="false" outlineLevel="0" collapsed="false">
      <c r="B76" s="41" t="s">
        <v>16</v>
      </c>
      <c r="C76" s="42" t="n">
        <v>46208</v>
      </c>
      <c r="D76" s="43" t="n">
        <v>0.270833333333333</v>
      </c>
      <c r="E76" s="41"/>
      <c r="F76" s="41" t="s">
        <v>88</v>
      </c>
      <c r="G76" s="41" t="n">
        <v>2</v>
      </c>
      <c r="H76" s="41"/>
      <c r="I76" s="44"/>
      <c r="J76" s="44" t="s">
        <v>105</v>
      </c>
    </row>
    <row r="77" customFormat="false" ht="15" hidden="false" customHeight="false" outlineLevel="0" collapsed="false">
      <c r="B77" s="41" t="s">
        <v>17</v>
      </c>
      <c r="C77" s="42" t="n">
        <v>46209</v>
      </c>
      <c r="D77" s="43" t="n">
        <v>0.458333333333333</v>
      </c>
      <c r="E77" s="41"/>
      <c r="F77" s="41" t="s">
        <v>88</v>
      </c>
      <c r="G77" s="41" t="n">
        <v>1</v>
      </c>
      <c r="H77" s="41" t="s">
        <v>89</v>
      </c>
      <c r="I77" s="44" t="s">
        <v>122</v>
      </c>
      <c r="J77" s="44" t="s">
        <v>91</v>
      </c>
    </row>
    <row r="78" customFormat="false" ht="15" hidden="false" customHeight="false" outlineLevel="0" collapsed="false">
      <c r="B78" s="41" t="s">
        <v>17</v>
      </c>
      <c r="C78" s="42" t="n">
        <v>46209</v>
      </c>
      <c r="D78" s="43" t="n">
        <v>0.625</v>
      </c>
      <c r="E78" s="41" t="s">
        <v>92</v>
      </c>
      <c r="F78" s="41" t="s">
        <v>88</v>
      </c>
      <c r="G78" s="41" t="n">
        <v>2</v>
      </c>
      <c r="H78" s="41"/>
      <c r="I78" s="44" t="s">
        <v>122</v>
      </c>
      <c r="J78" s="44" t="s">
        <v>91</v>
      </c>
    </row>
    <row r="79" customFormat="false" ht="15" hidden="false" customHeight="false" outlineLevel="0" collapsed="false">
      <c r="B79" s="41" t="s">
        <v>11</v>
      </c>
      <c r="C79" s="42" t="n">
        <v>46209</v>
      </c>
      <c r="D79" s="43" t="n">
        <v>0.385416666666667</v>
      </c>
      <c r="E79" s="41" t="s">
        <v>102</v>
      </c>
      <c r="F79" s="41" t="s">
        <v>88</v>
      </c>
      <c r="G79" s="41" t="n">
        <v>1</v>
      </c>
      <c r="H79" s="41" t="s">
        <v>94</v>
      </c>
      <c r="I79" s="44" t="s">
        <v>95</v>
      </c>
      <c r="J79" s="44" t="s">
        <v>96</v>
      </c>
    </row>
    <row r="80" customFormat="false" ht="15" hidden="false" customHeight="false" outlineLevel="0" collapsed="false">
      <c r="B80" s="41" t="s">
        <v>11</v>
      </c>
      <c r="C80" s="42" t="n">
        <v>46209</v>
      </c>
      <c r="D80" s="43" t="n">
        <v>0.458333333333333</v>
      </c>
      <c r="E80" s="41" t="s">
        <v>109</v>
      </c>
      <c r="F80" s="41" t="s">
        <v>88</v>
      </c>
      <c r="G80" s="41" t="n">
        <v>2</v>
      </c>
      <c r="H80" s="41" t="s">
        <v>94</v>
      </c>
      <c r="I80" s="44"/>
      <c r="J80" s="44" t="s">
        <v>96</v>
      </c>
    </row>
    <row r="81" customFormat="false" ht="15" hidden="false" customHeight="false" outlineLevel="0" collapsed="false">
      <c r="B81" s="41" t="s">
        <v>11</v>
      </c>
      <c r="C81" s="42" t="n">
        <v>46209</v>
      </c>
      <c r="D81" s="43" t="n">
        <v>0.583333333333333</v>
      </c>
      <c r="E81" s="41"/>
      <c r="F81" s="41" t="s">
        <v>88</v>
      </c>
      <c r="G81" s="41" t="n">
        <v>3</v>
      </c>
      <c r="H81" s="41" t="s">
        <v>23</v>
      </c>
      <c r="I81" s="44"/>
      <c r="J81" s="44" t="s">
        <v>96</v>
      </c>
    </row>
    <row r="82" customFormat="false" ht="15" hidden="false" customHeight="false" outlineLevel="0" collapsed="false">
      <c r="B82" s="41" t="s">
        <v>11</v>
      </c>
      <c r="C82" s="42" t="n">
        <v>46209</v>
      </c>
      <c r="D82" s="43" t="n">
        <v>0.708333333333333</v>
      </c>
      <c r="E82" s="41"/>
      <c r="F82" s="41" t="s">
        <v>88</v>
      </c>
      <c r="G82" s="41" t="n">
        <v>4</v>
      </c>
      <c r="H82" s="41" t="s">
        <v>24</v>
      </c>
      <c r="I82" s="44"/>
      <c r="J82" s="44" t="s">
        <v>96</v>
      </c>
    </row>
    <row r="83" customFormat="false" ht="15" hidden="false" customHeight="false" outlineLevel="0" collapsed="false">
      <c r="B83" s="41" t="s">
        <v>11</v>
      </c>
      <c r="C83" s="42" t="n">
        <v>46209</v>
      </c>
      <c r="D83" s="43" t="n">
        <v>0.833333333333333</v>
      </c>
      <c r="E83" s="41"/>
      <c r="F83" s="41" t="s">
        <v>88</v>
      </c>
      <c r="G83" s="41" t="n">
        <v>5</v>
      </c>
      <c r="H83" s="41" t="s">
        <v>98</v>
      </c>
      <c r="I83" s="44"/>
      <c r="J83" s="44" t="s">
        <v>96</v>
      </c>
    </row>
    <row r="84" customFormat="false" ht="15" hidden="false" customHeight="false" outlineLevel="0" collapsed="false">
      <c r="B84" s="41" t="s">
        <v>9</v>
      </c>
      <c r="C84" s="42" t="n">
        <v>46209</v>
      </c>
      <c r="D84" s="43" t="n">
        <v>0.416666666666667</v>
      </c>
      <c r="E84" s="41" t="s">
        <v>99</v>
      </c>
      <c r="F84" s="41" t="s">
        <v>88</v>
      </c>
      <c r="G84" s="41" t="n">
        <v>1</v>
      </c>
      <c r="H84" s="41" t="s">
        <v>94</v>
      </c>
      <c r="I84" s="44"/>
      <c r="J84" s="44" t="s">
        <v>100</v>
      </c>
    </row>
    <row r="85" customFormat="false" ht="15" hidden="false" customHeight="false" outlineLevel="0" collapsed="false">
      <c r="B85" s="41" t="s">
        <v>9</v>
      </c>
      <c r="C85" s="42" t="n">
        <v>46209</v>
      </c>
      <c r="D85" s="43" t="n">
        <v>0.479166666666667</v>
      </c>
      <c r="E85" s="41" t="s">
        <v>101</v>
      </c>
      <c r="F85" s="41" t="s">
        <v>88</v>
      </c>
      <c r="G85" s="41" t="n">
        <v>2</v>
      </c>
      <c r="H85" s="41" t="s">
        <v>94</v>
      </c>
      <c r="I85" s="44"/>
      <c r="J85" s="44" t="s">
        <v>100</v>
      </c>
    </row>
    <row r="86" customFormat="false" ht="15" hidden="false" customHeight="false" outlineLevel="0" collapsed="false">
      <c r="B86" s="41" t="s">
        <v>9</v>
      </c>
      <c r="C86" s="42" t="n">
        <v>46209</v>
      </c>
      <c r="D86" s="43" t="n">
        <v>0.541666666666667</v>
      </c>
      <c r="E86" s="41"/>
      <c r="F86" s="41" t="s">
        <v>88</v>
      </c>
      <c r="G86" s="41" t="n">
        <v>3</v>
      </c>
      <c r="H86" s="41" t="s">
        <v>23</v>
      </c>
      <c r="I86" s="44"/>
      <c r="J86" s="44" t="s">
        <v>100</v>
      </c>
    </row>
    <row r="87" customFormat="false" ht="15" hidden="false" customHeight="false" outlineLevel="0" collapsed="false">
      <c r="B87" s="41" t="s">
        <v>9</v>
      </c>
      <c r="C87" s="42" t="n">
        <v>46209</v>
      </c>
      <c r="D87" s="43" t="n">
        <v>0.708333333333333</v>
      </c>
      <c r="E87" s="41"/>
      <c r="F87" s="41" t="s">
        <v>88</v>
      </c>
      <c r="G87" s="41" t="n">
        <v>4</v>
      </c>
      <c r="H87" s="41" t="s">
        <v>24</v>
      </c>
      <c r="I87" s="44"/>
      <c r="J87" s="44" t="s">
        <v>100</v>
      </c>
    </row>
    <row r="88" customFormat="false" ht="15" hidden="false" customHeight="false" outlineLevel="0" collapsed="false">
      <c r="B88" s="41" t="s">
        <v>9</v>
      </c>
      <c r="C88" s="42" t="n">
        <v>46209</v>
      </c>
      <c r="D88" s="43" t="n">
        <v>0.833333333333333</v>
      </c>
      <c r="E88" s="41"/>
      <c r="F88" s="41" t="s">
        <v>88</v>
      </c>
      <c r="G88" s="41" t="n">
        <v>5</v>
      </c>
      <c r="H88" s="41" t="s">
        <v>98</v>
      </c>
      <c r="I88" s="44"/>
      <c r="J88" s="44" t="s">
        <v>100</v>
      </c>
    </row>
    <row r="89" customFormat="false" ht="15" hidden="false" customHeight="false" outlineLevel="0" collapsed="false">
      <c r="B89" s="41" t="s">
        <v>14</v>
      </c>
      <c r="C89" s="42" t="n">
        <v>46209</v>
      </c>
      <c r="D89" s="43" t="n">
        <v>0.375</v>
      </c>
      <c r="E89" s="41"/>
      <c r="F89" s="41" t="s">
        <v>88</v>
      </c>
      <c r="G89" s="41" t="n">
        <v>1</v>
      </c>
      <c r="H89" s="41" t="s">
        <v>123</v>
      </c>
      <c r="I89" s="44"/>
      <c r="J89" s="44" t="s">
        <v>104</v>
      </c>
    </row>
    <row r="90" customFormat="false" ht="15" hidden="false" customHeight="false" outlineLevel="0" collapsed="false">
      <c r="B90" s="41" t="s">
        <v>14</v>
      </c>
      <c r="C90" s="42" t="n">
        <v>46209</v>
      </c>
      <c r="D90" s="43" t="n">
        <v>0.458333333333333</v>
      </c>
      <c r="E90" s="41"/>
      <c r="F90" s="41" t="s">
        <v>88</v>
      </c>
      <c r="G90" s="41" t="n">
        <v>2</v>
      </c>
      <c r="H90" s="41" t="s">
        <v>124</v>
      </c>
      <c r="I90" s="44"/>
      <c r="J90" s="44" t="s">
        <v>104</v>
      </c>
    </row>
    <row r="91" customFormat="false" ht="15" hidden="false" customHeight="false" outlineLevel="0" collapsed="false">
      <c r="B91" s="41" t="s">
        <v>14</v>
      </c>
      <c r="C91" s="42" t="n">
        <v>46209</v>
      </c>
      <c r="D91" s="43" t="n">
        <v>0.520833333333333</v>
      </c>
      <c r="E91" s="41" t="s">
        <v>102</v>
      </c>
      <c r="F91" s="41" t="s">
        <v>88</v>
      </c>
      <c r="G91" s="41" t="n">
        <v>3</v>
      </c>
      <c r="H91" s="41" t="s">
        <v>103</v>
      </c>
      <c r="I91" s="44"/>
      <c r="J91" s="44" t="s">
        <v>104</v>
      </c>
    </row>
    <row r="92" customFormat="false" ht="15" hidden="false" customHeight="false" outlineLevel="0" collapsed="false">
      <c r="B92" s="41" t="s">
        <v>15</v>
      </c>
      <c r="C92" s="42" t="n">
        <v>46209</v>
      </c>
      <c r="D92" s="43" t="n">
        <v>0.75</v>
      </c>
      <c r="E92" s="41"/>
      <c r="F92" s="41" t="s">
        <v>88</v>
      </c>
      <c r="G92" s="41" t="n">
        <v>1</v>
      </c>
      <c r="H92" s="41" t="s">
        <v>26</v>
      </c>
      <c r="I92" s="44"/>
      <c r="J92" s="44" t="s">
        <v>120</v>
      </c>
    </row>
    <row r="93" customFormat="false" ht="15" hidden="false" customHeight="false" outlineLevel="0" collapsed="false">
      <c r="B93" s="41" t="s">
        <v>16</v>
      </c>
      <c r="C93" s="42" t="n">
        <v>46209</v>
      </c>
      <c r="D93" s="43" t="n">
        <v>0.333333333333333</v>
      </c>
      <c r="E93" s="41"/>
      <c r="F93" s="41" t="s">
        <v>88</v>
      </c>
      <c r="G93" s="41" t="n">
        <v>1</v>
      </c>
      <c r="H93" s="41"/>
      <c r="I93" s="44"/>
      <c r="J93" s="44" t="s">
        <v>105</v>
      </c>
    </row>
    <row r="94" customFormat="false" ht="15" hidden="false" customHeight="false" outlineLevel="0" collapsed="false">
      <c r="B94" s="41" t="s">
        <v>16</v>
      </c>
      <c r="C94" s="42" t="n">
        <v>46209</v>
      </c>
      <c r="D94" s="43" t="n">
        <v>0.5</v>
      </c>
      <c r="E94" s="41"/>
      <c r="F94" s="41" t="s">
        <v>88</v>
      </c>
      <c r="G94" s="41" t="n">
        <v>2</v>
      </c>
      <c r="H94" s="41"/>
      <c r="I94" s="44"/>
      <c r="J94" s="44" t="s">
        <v>105</v>
      </c>
    </row>
    <row r="95" customFormat="false" ht="15" hidden="false" customHeight="false" outlineLevel="0" collapsed="false">
      <c r="B95" s="41" t="s">
        <v>16</v>
      </c>
      <c r="C95" s="42" t="n">
        <v>46209</v>
      </c>
      <c r="D95" s="43" t="n">
        <v>0.583333333333333</v>
      </c>
      <c r="E95" s="41"/>
      <c r="F95" s="41" t="s">
        <v>88</v>
      </c>
      <c r="G95" s="41" t="n">
        <v>3</v>
      </c>
      <c r="H95" s="41" t="s">
        <v>106</v>
      </c>
      <c r="I95" s="44"/>
      <c r="J95" s="44" t="s">
        <v>105</v>
      </c>
    </row>
    <row r="96" customFormat="false" ht="15" hidden="false" customHeight="false" outlineLevel="0" collapsed="false">
      <c r="B96" s="41" t="s">
        <v>16</v>
      </c>
      <c r="C96" s="42" t="n">
        <v>46209</v>
      </c>
      <c r="D96" s="43" t="n">
        <v>0.666666666666667</v>
      </c>
      <c r="E96" s="41"/>
      <c r="F96" s="41" t="s">
        <v>88</v>
      </c>
      <c r="G96" s="41" t="n">
        <v>4</v>
      </c>
      <c r="H96" s="41" t="s">
        <v>106</v>
      </c>
      <c r="I96" s="44"/>
      <c r="J96" s="44" t="s">
        <v>105</v>
      </c>
    </row>
    <row r="97" customFormat="false" ht="15" hidden="false" customHeight="false" outlineLevel="0" collapsed="false">
      <c r="B97" s="41" t="s">
        <v>16</v>
      </c>
      <c r="C97" s="42" t="n">
        <v>46209</v>
      </c>
      <c r="D97" s="43" t="n">
        <v>0.75</v>
      </c>
      <c r="E97" s="41"/>
      <c r="F97" s="41" t="s">
        <v>88</v>
      </c>
      <c r="G97" s="41" t="n">
        <v>5</v>
      </c>
      <c r="H97" s="41" t="s">
        <v>106</v>
      </c>
      <c r="I97" s="44"/>
      <c r="J97" s="44" t="s">
        <v>105</v>
      </c>
    </row>
    <row r="98" customFormat="false" ht="15" hidden="false" customHeight="false" outlineLevel="0" collapsed="false">
      <c r="B98" s="41" t="s">
        <v>16</v>
      </c>
      <c r="C98" s="42" t="n">
        <v>46209</v>
      </c>
      <c r="D98" s="43" t="n">
        <v>0.520833333333333</v>
      </c>
      <c r="E98" s="41"/>
      <c r="F98" s="41" t="s">
        <v>88</v>
      </c>
      <c r="G98" s="41" t="n">
        <v>6</v>
      </c>
      <c r="H98" s="41"/>
      <c r="I98" s="44"/>
      <c r="J98" s="44" t="s">
        <v>105</v>
      </c>
    </row>
    <row r="99" customFormat="false" ht="15" hidden="false" customHeight="false" outlineLevel="0" collapsed="false">
      <c r="B99" s="41" t="s">
        <v>16</v>
      </c>
      <c r="C99" s="42" t="n">
        <v>46209</v>
      </c>
      <c r="D99" s="43" t="n">
        <v>0.25</v>
      </c>
      <c r="E99" s="41"/>
      <c r="F99" s="41" t="s">
        <v>88</v>
      </c>
      <c r="G99" s="41" t="n">
        <v>7</v>
      </c>
      <c r="H99" s="41"/>
      <c r="I99" s="44"/>
      <c r="J99" s="44" t="s">
        <v>105</v>
      </c>
    </row>
    <row r="100" customFormat="false" ht="15" hidden="false" customHeight="false" outlineLevel="0" collapsed="false">
      <c r="B100" s="41" t="s">
        <v>8</v>
      </c>
      <c r="C100" s="42" t="n">
        <v>46209</v>
      </c>
      <c r="D100" s="43" t="n">
        <v>0.416666666666667</v>
      </c>
      <c r="E100" s="41" t="s">
        <v>99</v>
      </c>
      <c r="F100" s="41" t="s">
        <v>88</v>
      </c>
      <c r="G100" s="41" t="n">
        <v>1</v>
      </c>
      <c r="H100" s="41" t="s">
        <v>94</v>
      </c>
      <c r="I100" s="44"/>
      <c r="J100" s="44" t="s">
        <v>107</v>
      </c>
    </row>
    <row r="101" customFormat="false" ht="15" hidden="false" customHeight="false" outlineLevel="0" collapsed="false">
      <c r="B101" s="41" t="s">
        <v>8</v>
      </c>
      <c r="C101" s="42" t="n">
        <v>46209</v>
      </c>
      <c r="D101" s="43" t="n">
        <v>0.479166666666667</v>
      </c>
      <c r="E101" s="41" t="s">
        <v>101</v>
      </c>
      <c r="F101" s="41" t="s">
        <v>88</v>
      </c>
      <c r="G101" s="41" t="n">
        <v>2</v>
      </c>
      <c r="H101" s="41" t="s">
        <v>94</v>
      </c>
      <c r="I101" s="44"/>
      <c r="J101" s="44" t="s">
        <v>107</v>
      </c>
    </row>
    <row r="102" customFormat="false" ht="15" hidden="false" customHeight="false" outlineLevel="0" collapsed="false">
      <c r="B102" s="41" t="s">
        <v>8</v>
      </c>
      <c r="C102" s="42" t="n">
        <v>46209</v>
      </c>
      <c r="D102" s="43" t="n">
        <v>0.520833333333333</v>
      </c>
      <c r="E102" s="41"/>
      <c r="F102" s="41" t="s">
        <v>88</v>
      </c>
      <c r="G102" s="41" t="n">
        <v>3</v>
      </c>
      <c r="H102" s="41" t="s">
        <v>22</v>
      </c>
      <c r="I102" s="44"/>
      <c r="J102" s="44" t="s">
        <v>107</v>
      </c>
    </row>
    <row r="103" customFormat="false" ht="15" hidden="false" customHeight="false" outlineLevel="0" collapsed="false">
      <c r="B103" s="41" t="s">
        <v>8</v>
      </c>
      <c r="C103" s="42" t="n">
        <v>46209</v>
      </c>
      <c r="D103" s="43" t="n">
        <v>0.604166666666667</v>
      </c>
      <c r="E103" s="41"/>
      <c r="F103" s="41" t="s">
        <v>88</v>
      </c>
      <c r="G103" s="41" t="n">
        <v>4</v>
      </c>
      <c r="H103" s="41" t="s">
        <v>23</v>
      </c>
      <c r="I103" s="44"/>
      <c r="J103" s="44" t="s">
        <v>107</v>
      </c>
    </row>
    <row r="104" customFormat="false" ht="15" hidden="false" customHeight="false" outlineLevel="0" collapsed="false">
      <c r="B104" s="41" t="s">
        <v>8</v>
      </c>
      <c r="C104" s="42" t="n">
        <v>46209</v>
      </c>
      <c r="D104" s="43" t="n">
        <v>0.708333333333333</v>
      </c>
      <c r="E104" s="41"/>
      <c r="F104" s="41" t="s">
        <v>88</v>
      </c>
      <c r="G104" s="41" t="n">
        <v>5</v>
      </c>
      <c r="H104" s="41" t="s">
        <v>24</v>
      </c>
      <c r="I104" s="44"/>
      <c r="J104" s="44" t="s">
        <v>107</v>
      </c>
    </row>
    <row r="105" customFormat="false" ht="15" hidden="false" customHeight="false" outlineLevel="0" collapsed="false">
      <c r="B105" s="41" t="s">
        <v>8</v>
      </c>
      <c r="C105" s="42" t="n">
        <v>46209</v>
      </c>
      <c r="D105" s="43" t="n">
        <v>0.833333333333333</v>
      </c>
      <c r="E105" s="41"/>
      <c r="F105" s="41" t="s">
        <v>88</v>
      </c>
      <c r="G105" s="41" t="n">
        <v>6</v>
      </c>
      <c r="H105" s="41" t="s">
        <v>98</v>
      </c>
      <c r="I105" s="44"/>
      <c r="J105" s="44" t="s">
        <v>107</v>
      </c>
    </row>
    <row r="106" customFormat="false" ht="15" hidden="false" customHeight="false" outlineLevel="0" collapsed="false">
      <c r="B106" s="41" t="s">
        <v>18</v>
      </c>
      <c r="C106" s="42" t="n">
        <v>46209</v>
      </c>
      <c r="D106" s="43"/>
      <c r="E106" s="41"/>
      <c r="F106" s="41" t="s">
        <v>88</v>
      </c>
      <c r="G106" s="41" t="n">
        <v>1</v>
      </c>
      <c r="H106" s="41" t="s">
        <v>110</v>
      </c>
      <c r="I106" s="44" t="s">
        <v>111</v>
      </c>
      <c r="J106" s="44" t="s">
        <v>112</v>
      </c>
    </row>
    <row r="107" customFormat="false" ht="15" hidden="false" customHeight="false" outlineLevel="0" collapsed="false">
      <c r="B107" s="41" t="s">
        <v>10</v>
      </c>
      <c r="C107" s="42" t="n">
        <v>46209</v>
      </c>
      <c r="D107" s="43" t="n">
        <v>0.354166666666667</v>
      </c>
      <c r="E107" s="41" t="s">
        <v>93</v>
      </c>
      <c r="F107" s="41" t="s">
        <v>88</v>
      </c>
      <c r="G107" s="41" t="n">
        <v>1</v>
      </c>
      <c r="H107" s="41" t="s">
        <v>94</v>
      </c>
      <c r="I107" s="44"/>
      <c r="J107" s="44" t="s">
        <v>125</v>
      </c>
    </row>
    <row r="108" customFormat="false" ht="15" hidden="false" customHeight="false" outlineLevel="0" collapsed="false">
      <c r="B108" s="41" t="s">
        <v>10</v>
      </c>
      <c r="C108" s="42" t="n">
        <v>46209</v>
      </c>
      <c r="D108" s="43" t="n">
        <v>0.46875</v>
      </c>
      <c r="E108" s="41" t="s">
        <v>97</v>
      </c>
      <c r="F108" s="41" t="s">
        <v>88</v>
      </c>
      <c r="G108" s="41" t="n">
        <v>2</v>
      </c>
      <c r="H108" s="41" t="s">
        <v>94</v>
      </c>
      <c r="I108" s="44"/>
      <c r="J108" s="44" t="s">
        <v>125</v>
      </c>
    </row>
    <row r="109" customFormat="false" ht="15" hidden="false" customHeight="false" outlineLevel="0" collapsed="false">
      <c r="B109" s="41" t="s">
        <v>10</v>
      </c>
      <c r="C109" s="42" t="n">
        <v>46209</v>
      </c>
      <c r="D109" s="43" t="n">
        <v>0.541666666666667</v>
      </c>
      <c r="E109" s="41"/>
      <c r="F109" s="41" t="s">
        <v>88</v>
      </c>
      <c r="G109" s="41" t="n">
        <v>3</v>
      </c>
      <c r="H109" s="41" t="s">
        <v>23</v>
      </c>
      <c r="I109" s="44"/>
      <c r="J109" s="44" t="s">
        <v>125</v>
      </c>
    </row>
    <row r="110" customFormat="false" ht="15" hidden="false" customHeight="false" outlineLevel="0" collapsed="false">
      <c r="B110" s="41" t="s">
        <v>10</v>
      </c>
      <c r="C110" s="42" t="n">
        <v>46209</v>
      </c>
      <c r="D110" s="43" t="n">
        <v>0.708333333333333</v>
      </c>
      <c r="E110" s="41"/>
      <c r="F110" s="41" t="s">
        <v>88</v>
      </c>
      <c r="G110" s="41" t="n">
        <v>4</v>
      </c>
      <c r="H110" s="41" t="s">
        <v>24</v>
      </c>
      <c r="I110" s="44"/>
      <c r="J110" s="44" t="s">
        <v>125</v>
      </c>
    </row>
    <row r="111" customFormat="false" ht="15" hidden="false" customHeight="false" outlineLevel="0" collapsed="false">
      <c r="B111" s="41" t="s">
        <v>10</v>
      </c>
      <c r="C111" s="42" t="n">
        <v>46209</v>
      </c>
      <c r="D111" s="43" t="n">
        <v>0.833333333333333</v>
      </c>
      <c r="E111" s="41"/>
      <c r="F111" s="41" t="s">
        <v>88</v>
      </c>
      <c r="G111" s="41" t="n">
        <v>5</v>
      </c>
      <c r="H111" s="41" t="s">
        <v>98</v>
      </c>
      <c r="I111" s="44"/>
      <c r="J111" s="44" t="s">
        <v>125</v>
      </c>
    </row>
    <row r="112" customFormat="false" ht="15" hidden="false" customHeight="false" outlineLevel="0" collapsed="false">
      <c r="B112" s="41" t="s">
        <v>12</v>
      </c>
      <c r="C112" s="42" t="n">
        <v>46209</v>
      </c>
      <c r="D112" s="43" t="n">
        <v>0.34375</v>
      </c>
      <c r="E112" s="41"/>
      <c r="F112" s="41" t="s">
        <v>88</v>
      </c>
      <c r="G112" s="41" t="n">
        <v>1</v>
      </c>
      <c r="H112" s="41" t="s">
        <v>12</v>
      </c>
      <c r="I112" s="44" t="s">
        <v>114</v>
      </c>
      <c r="J112" s="44" t="s">
        <v>115</v>
      </c>
    </row>
    <row r="113" customFormat="false" ht="15" hidden="false" customHeight="false" outlineLevel="0" collapsed="false">
      <c r="B113" s="41" t="s">
        <v>12</v>
      </c>
      <c r="C113" s="42" t="n">
        <v>46209</v>
      </c>
      <c r="D113" s="43" t="n">
        <v>0.416666666666667</v>
      </c>
      <c r="E113" s="41"/>
      <c r="F113" s="41" t="s">
        <v>88</v>
      </c>
      <c r="G113" s="41" t="n">
        <v>2</v>
      </c>
      <c r="H113" s="41" t="s">
        <v>12</v>
      </c>
      <c r="I113" s="44"/>
      <c r="J113" s="44" t="s">
        <v>115</v>
      </c>
    </row>
    <row r="114" customFormat="false" ht="15" hidden="false" customHeight="false" outlineLevel="0" collapsed="false">
      <c r="B114" s="41" t="s">
        <v>12</v>
      </c>
      <c r="C114" s="42" t="n">
        <v>46209</v>
      </c>
      <c r="D114" s="43" t="n">
        <v>0.458333333333333</v>
      </c>
      <c r="E114" s="41"/>
      <c r="F114" s="41" t="s">
        <v>88</v>
      </c>
      <c r="G114" s="41" t="n">
        <v>3</v>
      </c>
      <c r="H114" s="41" t="s">
        <v>113</v>
      </c>
      <c r="I114" s="44"/>
      <c r="J114" s="44" t="s">
        <v>115</v>
      </c>
    </row>
    <row r="115" customFormat="false" ht="15" hidden="false" customHeight="false" outlineLevel="0" collapsed="false">
      <c r="B115" s="41" t="s">
        <v>12</v>
      </c>
      <c r="C115" s="42" t="n">
        <v>46209</v>
      </c>
      <c r="D115" s="43" t="n">
        <v>0.541666666666667</v>
      </c>
      <c r="E115" s="41"/>
      <c r="F115" s="41" t="s">
        <v>88</v>
      </c>
      <c r="G115" s="41" t="n">
        <v>4</v>
      </c>
      <c r="H115" s="41" t="s">
        <v>12</v>
      </c>
      <c r="I115" s="44"/>
      <c r="J115" s="44" t="s">
        <v>115</v>
      </c>
    </row>
    <row r="116" customFormat="false" ht="15" hidden="false" customHeight="false" outlineLevel="0" collapsed="false">
      <c r="B116" s="41" t="s">
        <v>17</v>
      </c>
      <c r="C116" s="42" t="n">
        <v>46210</v>
      </c>
      <c r="D116" s="43" t="n">
        <v>0.416666666666667</v>
      </c>
      <c r="E116" s="41"/>
      <c r="F116" s="41" t="s">
        <v>88</v>
      </c>
      <c r="G116" s="41" t="n">
        <v>1</v>
      </c>
      <c r="H116" s="41" t="s">
        <v>89</v>
      </c>
      <c r="I116" s="44" t="s">
        <v>126</v>
      </c>
      <c r="J116" s="44" t="s">
        <v>91</v>
      </c>
    </row>
    <row r="117" customFormat="false" ht="15" hidden="false" customHeight="false" outlineLevel="0" collapsed="false">
      <c r="B117" s="41" t="s">
        <v>17</v>
      </c>
      <c r="C117" s="42" t="n">
        <v>46210</v>
      </c>
      <c r="D117" s="43" t="n">
        <v>0.625</v>
      </c>
      <c r="E117" s="41" t="s">
        <v>92</v>
      </c>
      <c r="F117" s="41" t="s">
        <v>88</v>
      </c>
      <c r="G117" s="41" t="n">
        <v>2</v>
      </c>
      <c r="H117" s="41"/>
      <c r="I117" s="44" t="s">
        <v>126</v>
      </c>
      <c r="J117" s="44" t="s">
        <v>91</v>
      </c>
    </row>
    <row r="118" customFormat="false" ht="15" hidden="false" customHeight="false" outlineLevel="0" collapsed="false">
      <c r="B118" s="41" t="s">
        <v>11</v>
      </c>
      <c r="C118" s="42" t="n">
        <v>46210</v>
      </c>
      <c r="D118" s="43" t="n">
        <v>0.34375</v>
      </c>
      <c r="E118" s="41" t="s">
        <v>93</v>
      </c>
      <c r="F118" s="41" t="s">
        <v>88</v>
      </c>
      <c r="G118" s="41" t="n">
        <v>1</v>
      </c>
      <c r="H118" s="41"/>
      <c r="I118" s="44" t="s">
        <v>95</v>
      </c>
      <c r="J118" s="44" t="s">
        <v>96</v>
      </c>
    </row>
    <row r="119" customFormat="false" ht="15" hidden="false" customHeight="false" outlineLevel="0" collapsed="false">
      <c r="B119" s="41" t="s">
        <v>11</v>
      </c>
      <c r="C119" s="42" t="n">
        <v>46210</v>
      </c>
      <c r="D119" s="43" t="n">
        <v>0.458333333333333</v>
      </c>
      <c r="E119" s="41" t="s">
        <v>97</v>
      </c>
      <c r="F119" s="41" t="s">
        <v>88</v>
      </c>
      <c r="G119" s="41" t="n">
        <v>2</v>
      </c>
      <c r="H119" s="41"/>
      <c r="I119" s="44"/>
      <c r="J119" s="44" t="s">
        <v>96</v>
      </c>
    </row>
    <row r="120" customFormat="false" ht="15" hidden="false" customHeight="false" outlineLevel="0" collapsed="false">
      <c r="B120" s="41" t="s">
        <v>11</v>
      </c>
      <c r="C120" s="42" t="n">
        <v>46210</v>
      </c>
      <c r="D120" s="43" t="n">
        <v>0.583333333333333</v>
      </c>
      <c r="E120" s="41"/>
      <c r="F120" s="41" t="s">
        <v>88</v>
      </c>
      <c r="G120" s="41" t="n">
        <v>3</v>
      </c>
      <c r="H120" s="41" t="s">
        <v>23</v>
      </c>
      <c r="I120" s="44"/>
      <c r="J120" s="44" t="s">
        <v>96</v>
      </c>
    </row>
    <row r="121" customFormat="false" ht="15" hidden="false" customHeight="false" outlineLevel="0" collapsed="false">
      <c r="B121" s="41" t="s">
        <v>11</v>
      </c>
      <c r="C121" s="42" t="n">
        <v>46210</v>
      </c>
      <c r="D121" s="43" t="n">
        <v>0.708333333333333</v>
      </c>
      <c r="E121" s="41"/>
      <c r="F121" s="41" t="s">
        <v>88</v>
      </c>
      <c r="G121" s="41" t="n">
        <v>4</v>
      </c>
      <c r="H121" s="41" t="s">
        <v>24</v>
      </c>
      <c r="I121" s="44"/>
      <c r="J121" s="44" t="s">
        <v>96</v>
      </c>
    </row>
    <row r="122" customFormat="false" ht="15" hidden="false" customHeight="false" outlineLevel="0" collapsed="false">
      <c r="B122" s="41" t="s">
        <v>11</v>
      </c>
      <c r="C122" s="42" t="n">
        <v>46210</v>
      </c>
      <c r="D122" s="43" t="n">
        <v>0.833333333333333</v>
      </c>
      <c r="E122" s="41"/>
      <c r="F122" s="41" t="s">
        <v>88</v>
      </c>
      <c r="G122" s="41" t="n">
        <v>5</v>
      </c>
      <c r="H122" s="41" t="s">
        <v>98</v>
      </c>
      <c r="I122" s="44"/>
      <c r="J122" s="44" t="s">
        <v>96</v>
      </c>
    </row>
    <row r="123" customFormat="false" ht="15" hidden="false" customHeight="false" outlineLevel="0" collapsed="false">
      <c r="B123" s="41" t="s">
        <v>9</v>
      </c>
      <c r="C123" s="42" t="n">
        <v>46210</v>
      </c>
      <c r="D123" s="43" t="n">
        <v>0.34375</v>
      </c>
      <c r="E123" s="41" t="s">
        <v>93</v>
      </c>
      <c r="F123" s="41" t="s">
        <v>88</v>
      </c>
      <c r="G123" s="41" t="n">
        <v>1</v>
      </c>
      <c r="H123" s="41"/>
      <c r="I123" s="44"/>
      <c r="J123" s="44" t="s">
        <v>100</v>
      </c>
    </row>
    <row r="124" customFormat="false" ht="15" hidden="false" customHeight="false" outlineLevel="0" collapsed="false">
      <c r="B124" s="41" t="s">
        <v>9</v>
      </c>
      <c r="C124" s="42" t="n">
        <v>46210</v>
      </c>
      <c r="D124" s="43" t="n">
        <v>0.385416666666667</v>
      </c>
      <c r="E124" s="41" t="s">
        <v>108</v>
      </c>
      <c r="F124" s="41" t="s">
        <v>88</v>
      </c>
      <c r="G124" s="41" t="n">
        <v>2</v>
      </c>
      <c r="H124" s="41"/>
      <c r="I124" s="44"/>
      <c r="J124" s="44" t="s">
        <v>100</v>
      </c>
    </row>
    <row r="125" customFormat="false" ht="15" hidden="false" customHeight="false" outlineLevel="0" collapsed="false">
      <c r="B125" s="41" t="s">
        <v>9</v>
      </c>
      <c r="C125" s="42" t="n">
        <v>46210</v>
      </c>
      <c r="D125" s="43" t="n">
        <v>0.479166666666667</v>
      </c>
      <c r="E125" s="41" t="s">
        <v>109</v>
      </c>
      <c r="F125" s="41" t="s">
        <v>88</v>
      </c>
      <c r="G125" s="41" t="n">
        <v>3</v>
      </c>
      <c r="H125" s="41"/>
      <c r="I125" s="44"/>
      <c r="J125" s="44" t="s">
        <v>100</v>
      </c>
    </row>
    <row r="126" customFormat="false" ht="15" hidden="false" customHeight="false" outlineLevel="0" collapsed="false">
      <c r="B126" s="41" t="s">
        <v>9</v>
      </c>
      <c r="C126" s="42" t="n">
        <v>46210</v>
      </c>
      <c r="D126" s="43" t="n">
        <v>0.541666666666667</v>
      </c>
      <c r="E126" s="41"/>
      <c r="F126" s="41" t="s">
        <v>88</v>
      </c>
      <c r="G126" s="41" t="n">
        <v>4</v>
      </c>
      <c r="H126" s="41" t="s">
        <v>23</v>
      </c>
      <c r="I126" s="44"/>
      <c r="J126" s="44" t="s">
        <v>100</v>
      </c>
    </row>
    <row r="127" customFormat="false" ht="15" hidden="false" customHeight="false" outlineLevel="0" collapsed="false">
      <c r="B127" s="41" t="s">
        <v>9</v>
      </c>
      <c r="C127" s="42" t="n">
        <v>46210</v>
      </c>
      <c r="D127" s="43" t="n">
        <v>0.645833333333333</v>
      </c>
      <c r="E127" s="41" t="s">
        <v>92</v>
      </c>
      <c r="F127" s="41" t="s">
        <v>88</v>
      </c>
      <c r="G127" s="41" t="n">
        <v>5</v>
      </c>
      <c r="H127" s="41"/>
      <c r="I127" s="44"/>
      <c r="J127" s="44" t="s">
        <v>100</v>
      </c>
    </row>
    <row r="128" customFormat="false" ht="15" hidden="false" customHeight="false" outlineLevel="0" collapsed="false">
      <c r="B128" s="41" t="s">
        <v>9</v>
      </c>
      <c r="C128" s="42" t="n">
        <v>46210</v>
      </c>
      <c r="D128" s="43" t="n">
        <v>0.708333333333333</v>
      </c>
      <c r="E128" s="41" t="s">
        <v>92</v>
      </c>
      <c r="F128" s="41" t="s">
        <v>88</v>
      </c>
      <c r="G128" s="41" t="n">
        <v>6</v>
      </c>
      <c r="H128" s="41"/>
      <c r="I128" s="44"/>
      <c r="J128" s="44" t="s">
        <v>100</v>
      </c>
    </row>
    <row r="129" customFormat="false" ht="15" hidden="false" customHeight="false" outlineLevel="0" collapsed="false">
      <c r="B129" s="41" t="s">
        <v>9</v>
      </c>
      <c r="C129" s="42" t="n">
        <v>46210</v>
      </c>
      <c r="D129" s="43" t="n">
        <v>0.833333333333333</v>
      </c>
      <c r="E129" s="41"/>
      <c r="F129" s="41" t="s">
        <v>88</v>
      </c>
      <c r="G129" s="41" t="n">
        <v>7</v>
      </c>
      <c r="H129" s="41" t="s">
        <v>98</v>
      </c>
      <c r="I129" s="44"/>
      <c r="J129" s="44" t="s">
        <v>100</v>
      </c>
    </row>
    <row r="130" customFormat="false" ht="15" hidden="false" customHeight="false" outlineLevel="0" collapsed="false">
      <c r="B130" s="41" t="s">
        <v>14</v>
      </c>
      <c r="C130" s="42" t="n">
        <v>46210</v>
      </c>
      <c r="D130" s="43" t="n">
        <v>0.520833333333333</v>
      </c>
      <c r="E130" s="41" t="s">
        <v>102</v>
      </c>
      <c r="F130" s="41" t="s">
        <v>88</v>
      </c>
      <c r="G130" s="41" t="n">
        <v>1</v>
      </c>
      <c r="H130" s="41" t="s">
        <v>103</v>
      </c>
      <c r="I130" s="44"/>
      <c r="J130" s="44" t="s">
        <v>104</v>
      </c>
    </row>
    <row r="131" customFormat="false" ht="15" hidden="false" customHeight="false" outlineLevel="0" collapsed="false">
      <c r="B131" s="41" t="s">
        <v>14</v>
      </c>
      <c r="C131" s="42" t="n">
        <v>46210</v>
      </c>
      <c r="D131" s="43" t="n">
        <v>0.75</v>
      </c>
      <c r="E131" s="41"/>
      <c r="F131" s="41" t="s">
        <v>88</v>
      </c>
      <c r="G131" s="41" t="n">
        <v>2</v>
      </c>
      <c r="H131" s="41" t="s">
        <v>127</v>
      </c>
      <c r="I131" s="44"/>
      <c r="J131" s="44" t="s">
        <v>104</v>
      </c>
    </row>
    <row r="132" customFormat="false" ht="15" hidden="false" customHeight="false" outlineLevel="0" collapsed="false">
      <c r="B132" s="41" t="s">
        <v>15</v>
      </c>
      <c r="C132" s="42" t="n">
        <v>46210</v>
      </c>
      <c r="D132" s="43" t="n">
        <v>0.75</v>
      </c>
      <c r="E132" s="41"/>
      <c r="F132" s="41" t="s">
        <v>88</v>
      </c>
      <c r="G132" s="41" t="n">
        <v>1</v>
      </c>
      <c r="H132" s="41" t="s">
        <v>26</v>
      </c>
      <c r="I132" s="44"/>
      <c r="J132" s="44" t="s">
        <v>120</v>
      </c>
    </row>
    <row r="133" customFormat="false" ht="15" hidden="false" customHeight="false" outlineLevel="0" collapsed="false">
      <c r="B133" s="41" t="s">
        <v>16</v>
      </c>
      <c r="C133" s="42" t="n">
        <v>46210</v>
      </c>
      <c r="D133" s="43" t="n">
        <v>0.333333333333333</v>
      </c>
      <c r="E133" s="41"/>
      <c r="F133" s="41" t="s">
        <v>88</v>
      </c>
      <c r="G133" s="41" t="n">
        <v>1</v>
      </c>
      <c r="H133" s="41"/>
      <c r="I133" s="44"/>
      <c r="J133" s="44" t="s">
        <v>105</v>
      </c>
    </row>
    <row r="134" customFormat="false" ht="15" hidden="false" customHeight="false" outlineLevel="0" collapsed="false">
      <c r="B134" s="41" t="s">
        <v>16</v>
      </c>
      <c r="C134" s="42" t="n">
        <v>46210</v>
      </c>
      <c r="D134" s="43" t="n">
        <v>0.5</v>
      </c>
      <c r="E134" s="41"/>
      <c r="F134" s="41" t="s">
        <v>88</v>
      </c>
      <c r="G134" s="41" t="n">
        <v>2</v>
      </c>
      <c r="H134" s="41"/>
      <c r="I134" s="44"/>
      <c r="J134" s="44" t="s">
        <v>105</v>
      </c>
    </row>
    <row r="135" customFormat="false" ht="15" hidden="false" customHeight="false" outlineLevel="0" collapsed="false">
      <c r="B135" s="41" t="s">
        <v>16</v>
      </c>
      <c r="C135" s="42" t="n">
        <v>46210</v>
      </c>
      <c r="D135" s="43" t="n">
        <v>0.583333333333333</v>
      </c>
      <c r="E135" s="41"/>
      <c r="F135" s="41" t="s">
        <v>88</v>
      </c>
      <c r="G135" s="41" t="n">
        <v>3</v>
      </c>
      <c r="H135" s="41" t="s">
        <v>106</v>
      </c>
      <c r="I135" s="44"/>
      <c r="J135" s="44" t="s">
        <v>105</v>
      </c>
    </row>
    <row r="136" customFormat="false" ht="15" hidden="false" customHeight="false" outlineLevel="0" collapsed="false">
      <c r="B136" s="41" t="s">
        <v>16</v>
      </c>
      <c r="C136" s="42" t="n">
        <v>46210</v>
      </c>
      <c r="D136" s="43" t="n">
        <v>0.666666666666667</v>
      </c>
      <c r="E136" s="41"/>
      <c r="F136" s="41" t="s">
        <v>88</v>
      </c>
      <c r="G136" s="41" t="n">
        <v>4</v>
      </c>
      <c r="H136" s="41" t="s">
        <v>106</v>
      </c>
      <c r="I136" s="44"/>
      <c r="J136" s="44" t="s">
        <v>105</v>
      </c>
    </row>
    <row r="137" customFormat="false" ht="15" hidden="false" customHeight="false" outlineLevel="0" collapsed="false">
      <c r="B137" s="41" t="s">
        <v>16</v>
      </c>
      <c r="C137" s="42" t="n">
        <v>46210</v>
      </c>
      <c r="D137" s="43" t="n">
        <v>0.75</v>
      </c>
      <c r="E137" s="41"/>
      <c r="F137" s="41" t="s">
        <v>88</v>
      </c>
      <c r="G137" s="41" t="n">
        <v>5</v>
      </c>
      <c r="H137" s="41" t="s">
        <v>106</v>
      </c>
      <c r="I137" s="44"/>
      <c r="J137" s="44" t="s">
        <v>105</v>
      </c>
    </row>
    <row r="138" customFormat="false" ht="15" hidden="false" customHeight="false" outlineLevel="0" collapsed="false">
      <c r="B138" s="41" t="s">
        <v>16</v>
      </c>
      <c r="C138" s="42" t="n">
        <v>46210</v>
      </c>
      <c r="D138" s="43" t="n">
        <v>0.520833333333333</v>
      </c>
      <c r="E138" s="41"/>
      <c r="F138" s="41" t="s">
        <v>88</v>
      </c>
      <c r="G138" s="41" t="n">
        <v>6</v>
      </c>
      <c r="H138" s="41"/>
      <c r="I138" s="44"/>
      <c r="J138" s="44" t="s">
        <v>105</v>
      </c>
    </row>
    <row r="139" customFormat="false" ht="15" hidden="false" customHeight="false" outlineLevel="0" collapsed="false">
      <c r="B139" s="41" t="s">
        <v>16</v>
      </c>
      <c r="C139" s="42" t="n">
        <v>46210</v>
      </c>
      <c r="D139" s="43" t="n">
        <v>0.25</v>
      </c>
      <c r="E139" s="41"/>
      <c r="F139" s="41" t="s">
        <v>88</v>
      </c>
      <c r="G139" s="41" t="n">
        <v>7</v>
      </c>
      <c r="H139" s="41"/>
      <c r="I139" s="44"/>
      <c r="J139" s="44" t="s">
        <v>105</v>
      </c>
    </row>
    <row r="140" customFormat="false" ht="15" hidden="false" customHeight="false" outlineLevel="0" collapsed="false">
      <c r="B140" s="41" t="s">
        <v>8</v>
      </c>
      <c r="C140" s="42" t="n">
        <v>46210</v>
      </c>
      <c r="D140" s="43" t="n">
        <v>0.34375</v>
      </c>
      <c r="E140" s="41" t="s">
        <v>93</v>
      </c>
      <c r="F140" s="41" t="s">
        <v>88</v>
      </c>
      <c r="G140" s="41" t="n">
        <v>1</v>
      </c>
      <c r="H140" s="41"/>
      <c r="I140" s="44"/>
      <c r="J140" s="44" t="s">
        <v>107</v>
      </c>
    </row>
    <row r="141" customFormat="false" ht="15" hidden="false" customHeight="false" outlineLevel="0" collapsed="false">
      <c r="B141" s="41" t="s">
        <v>8</v>
      </c>
      <c r="C141" s="42" t="n">
        <v>46210</v>
      </c>
      <c r="D141" s="43" t="n">
        <v>0.385416666666667</v>
      </c>
      <c r="E141" s="41" t="s">
        <v>108</v>
      </c>
      <c r="F141" s="41" t="s">
        <v>88</v>
      </c>
      <c r="G141" s="41" t="n">
        <v>2</v>
      </c>
      <c r="H141" s="41"/>
      <c r="I141" s="44"/>
      <c r="J141" s="44" t="s">
        <v>107</v>
      </c>
    </row>
    <row r="142" customFormat="false" ht="15" hidden="false" customHeight="false" outlineLevel="0" collapsed="false">
      <c r="B142" s="41" t="s">
        <v>8</v>
      </c>
      <c r="C142" s="42" t="n">
        <v>46210</v>
      </c>
      <c r="D142" s="43" t="n">
        <v>0.479166666666667</v>
      </c>
      <c r="E142" s="41" t="s">
        <v>109</v>
      </c>
      <c r="F142" s="41" t="s">
        <v>88</v>
      </c>
      <c r="G142" s="41" t="n">
        <v>3</v>
      </c>
      <c r="H142" s="41"/>
      <c r="I142" s="44"/>
      <c r="J142" s="44" t="s">
        <v>107</v>
      </c>
    </row>
    <row r="143" customFormat="false" ht="15" hidden="false" customHeight="false" outlineLevel="0" collapsed="false">
      <c r="B143" s="41" t="s">
        <v>8</v>
      </c>
      <c r="C143" s="42" t="n">
        <v>46210</v>
      </c>
      <c r="D143" s="43" t="n">
        <v>0.520833333333333</v>
      </c>
      <c r="E143" s="41"/>
      <c r="F143" s="41" t="s">
        <v>88</v>
      </c>
      <c r="G143" s="41" t="n">
        <v>4</v>
      </c>
      <c r="H143" s="41" t="s">
        <v>22</v>
      </c>
      <c r="I143" s="44"/>
      <c r="J143" s="44" t="s">
        <v>107</v>
      </c>
    </row>
    <row r="144" customFormat="false" ht="15" hidden="false" customHeight="false" outlineLevel="0" collapsed="false">
      <c r="B144" s="41" t="s">
        <v>8</v>
      </c>
      <c r="C144" s="42" t="n">
        <v>46210</v>
      </c>
      <c r="D144" s="43" t="n">
        <v>0.5625</v>
      </c>
      <c r="E144" s="41"/>
      <c r="F144" s="41" t="s">
        <v>88</v>
      </c>
      <c r="G144" s="41" t="n">
        <v>5</v>
      </c>
      <c r="H144" s="41" t="s">
        <v>23</v>
      </c>
      <c r="I144" s="44"/>
      <c r="J144" s="44" t="s">
        <v>107</v>
      </c>
    </row>
    <row r="145" customFormat="false" ht="15" hidden="false" customHeight="false" outlineLevel="0" collapsed="false">
      <c r="B145" s="41" t="s">
        <v>8</v>
      </c>
      <c r="C145" s="42" t="n">
        <v>46210</v>
      </c>
      <c r="D145" s="43" t="n">
        <v>0.708333333333333</v>
      </c>
      <c r="E145" s="41"/>
      <c r="F145" s="41" t="s">
        <v>88</v>
      </c>
      <c r="G145" s="41" t="n">
        <v>6</v>
      </c>
      <c r="H145" s="41" t="s">
        <v>24</v>
      </c>
      <c r="I145" s="44"/>
      <c r="J145" s="44" t="s">
        <v>107</v>
      </c>
    </row>
    <row r="146" customFormat="false" ht="15" hidden="false" customHeight="false" outlineLevel="0" collapsed="false">
      <c r="B146" s="41" t="s">
        <v>8</v>
      </c>
      <c r="C146" s="42" t="n">
        <v>46210</v>
      </c>
      <c r="D146" s="43" t="n">
        <v>0.833333333333333</v>
      </c>
      <c r="E146" s="41"/>
      <c r="F146" s="41" t="s">
        <v>88</v>
      </c>
      <c r="G146" s="41" t="n">
        <v>7</v>
      </c>
      <c r="H146" s="41" t="s">
        <v>98</v>
      </c>
      <c r="I146" s="44"/>
      <c r="J146" s="44" t="s">
        <v>107</v>
      </c>
    </row>
    <row r="147" customFormat="false" ht="15" hidden="false" customHeight="false" outlineLevel="0" collapsed="false">
      <c r="B147" s="41" t="s">
        <v>18</v>
      </c>
      <c r="C147" s="42" t="n">
        <v>46210</v>
      </c>
      <c r="D147" s="43"/>
      <c r="E147" s="41"/>
      <c r="F147" s="41" t="s">
        <v>88</v>
      </c>
      <c r="G147" s="41" t="n">
        <v>1</v>
      </c>
      <c r="H147" s="41" t="s">
        <v>110</v>
      </c>
      <c r="I147" s="44" t="s">
        <v>111</v>
      </c>
      <c r="J147" s="44" t="s">
        <v>112</v>
      </c>
    </row>
    <row r="148" customFormat="false" ht="15" hidden="false" customHeight="false" outlineLevel="0" collapsed="false">
      <c r="B148" s="41" t="s">
        <v>10</v>
      </c>
      <c r="C148" s="42" t="n">
        <v>46210</v>
      </c>
      <c r="D148" s="43" t="n">
        <v>0.34375</v>
      </c>
      <c r="E148" s="41" t="s">
        <v>93</v>
      </c>
      <c r="F148" s="41" t="s">
        <v>88</v>
      </c>
      <c r="G148" s="41" t="n">
        <v>1</v>
      </c>
      <c r="H148" s="41"/>
      <c r="I148" s="44"/>
      <c r="J148" s="44" t="s">
        <v>125</v>
      </c>
    </row>
    <row r="149" customFormat="false" ht="15" hidden="false" customHeight="false" outlineLevel="0" collapsed="false">
      <c r="B149" s="41" t="s">
        <v>10</v>
      </c>
      <c r="C149" s="42" t="n">
        <v>46210</v>
      </c>
      <c r="D149" s="43" t="n">
        <v>0.46875</v>
      </c>
      <c r="E149" s="41" t="s">
        <v>97</v>
      </c>
      <c r="F149" s="41" t="s">
        <v>88</v>
      </c>
      <c r="G149" s="41" t="n">
        <v>2</v>
      </c>
      <c r="H149" s="41"/>
      <c r="I149" s="44"/>
      <c r="J149" s="44" t="s">
        <v>125</v>
      </c>
    </row>
    <row r="150" customFormat="false" ht="15" hidden="false" customHeight="false" outlineLevel="0" collapsed="false">
      <c r="B150" s="41" t="s">
        <v>10</v>
      </c>
      <c r="C150" s="42" t="n">
        <v>46210</v>
      </c>
      <c r="D150" s="43" t="n">
        <v>0.541666666666667</v>
      </c>
      <c r="E150" s="41"/>
      <c r="F150" s="41" t="s">
        <v>88</v>
      </c>
      <c r="G150" s="41" t="n">
        <v>3</v>
      </c>
      <c r="H150" s="41" t="s">
        <v>23</v>
      </c>
      <c r="I150" s="44"/>
      <c r="J150" s="44" t="s">
        <v>125</v>
      </c>
    </row>
    <row r="151" customFormat="false" ht="15" hidden="false" customHeight="false" outlineLevel="0" collapsed="false">
      <c r="B151" s="41" t="s">
        <v>10</v>
      </c>
      <c r="C151" s="42" t="n">
        <v>46210</v>
      </c>
      <c r="D151" s="43" t="n">
        <v>0.625</v>
      </c>
      <c r="E151" s="41" t="s">
        <v>92</v>
      </c>
      <c r="F151" s="41" t="s">
        <v>88</v>
      </c>
      <c r="G151" s="41" t="n">
        <v>4</v>
      </c>
      <c r="H151" s="41"/>
      <c r="I151" s="44"/>
      <c r="J151" s="44" t="s">
        <v>125</v>
      </c>
    </row>
    <row r="152" customFormat="false" ht="15" hidden="false" customHeight="false" outlineLevel="0" collapsed="false">
      <c r="B152" s="41" t="s">
        <v>10</v>
      </c>
      <c r="C152" s="42" t="n">
        <v>46210</v>
      </c>
      <c r="D152" s="43" t="n">
        <v>0.833333333333333</v>
      </c>
      <c r="E152" s="41"/>
      <c r="F152" s="41" t="s">
        <v>88</v>
      </c>
      <c r="G152" s="41" t="n">
        <v>5</v>
      </c>
      <c r="H152" s="41" t="s">
        <v>98</v>
      </c>
      <c r="I152" s="44"/>
      <c r="J152" s="44" t="s">
        <v>125</v>
      </c>
    </row>
    <row r="153" customFormat="false" ht="15" hidden="false" customHeight="false" outlineLevel="0" collapsed="false">
      <c r="B153" s="41" t="s">
        <v>12</v>
      </c>
      <c r="C153" s="42" t="n">
        <v>46210</v>
      </c>
      <c r="D153" s="43" t="n">
        <v>0.375</v>
      </c>
      <c r="E153" s="41"/>
      <c r="F153" s="41" t="s">
        <v>88</v>
      </c>
      <c r="G153" s="41" t="n">
        <v>1</v>
      </c>
      <c r="H153" s="41" t="s">
        <v>12</v>
      </c>
      <c r="I153" s="44" t="s">
        <v>114</v>
      </c>
      <c r="J153" s="44" t="s">
        <v>115</v>
      </c>
    </row>
    <row r="154" customFormat="false" ht="15" hidden="false" customHeight="false" outlineLevel="0" collapsed="false">
      <c r="B154" s="41" t="s">
        <v>12</v>
      </c>
      <c r="C154" s="42" t="n">
        <v>46210</v>
      </c>
      <c r="D154" s="43" t="n">
        <v>0.416666666666667</v>
      </c>
      <c r="E154" s="41"/>
      <c r="F154" s="41" t="s">
        <v>88</v>
      </c>
      <c r="G154" s="41" t="n">
        <v>2</v>
      </c>
      <c r="H154" s="41" t="s">
        <v>113</v>
      </c>
      <c r="I154" s="44"/>
      <c r="J154" s="44" t="s">
        <v>115</v>
      </c>
    </row>
    <row r="155" customFormat="false" ht="15" hidden="false" customHeight="false" outlineLevel="0" collapsed="false">
      <c r="B155" s="41" t="s">
        <v>12</v>
      </c>
      <c r="C155" s="42" t="n">
        <v>46210</v>
      </c>
      <c r="D155" s="43" t="n">
        <v>0.583333333333333</v>
      </c>
      <c r="E155" s="41"/>
      <c r="F155" s="41" t="s">
        <v>88</v>
      </c>
      <c r="G155" s="41" t="n">
        <v>3</v>
      </c>
      <c r="H155" s="41" t="s">
        <v>12</v>
      </c>
      <c r="I155" s="44"/>
      <c r="J155" s="44" t="s">
        <v>115</v>
      </c>
    </row>
    <row r="156" customFormat="false" ht="15" hidden="false" customHeight="false" outlineLevel="0" collapsed="false">
      <c r="B156" s="41" t="s">
        <v>17</v>
      </c>
      <c r="C156" s="42" t="n">
        <v>46211</v>
      </c>
      <c r="D156" s="43" t="n">
        <v>0.479166666666667</v>
      </c>
      <c r="E156" s="41"/>
      <c r="F156" s="41" t="s">
        <v>88</v>
      </c>
      <c r="G156" s="41" t="n">
        <v>1</v>
      </c>
      <c r="H156" s="41" t="s">
        <v>89</v>
      </c>
      <c r="I156" s="44" t="s">
        <v>116</v>
      </c>
      <c r="J156" s="44" t="s">
        <v>91</v>
      </c>
    </row>
    <row r="157" customFormat="false" ht="15" hidden="false" customHeight="false" outlineLevel="0" collapsed="false">
      <c r="B157" s="41" t="s">
        <v>17</v>
      </c>
      <c r="C157" s="42" t="n">
        <v>46211</v>
      </c>
      <c r="D157" s="43" t="n">
        <v>0.645833333333333</v>
      </c>
      <c r="E157" s="41" t="s">
        <v>92</v>
      </c>
      <c r="F157" s="41" t="s">
        <v>88</v>
      </c>
      <c r="G157" s="41" t="n">
        <v>2</v>
      </c>
      <c r="H157" s="41"/>
      <c r="I157" s="44" t="s">
        <v>116</v>
      </c>
      <c r="J157" s="44" t="s">
        <v>91</v>
      </c>
    </row>
    <row r="158" customFormat="false" ht="15" hidden="false" customHeight="false" outlineLevel="0" collapsed="false">
      <c r="B158" s="41" t="s">
        <v>11</v>
      </c>
      <c r="C158" s="42" t="n">
        <v>46211</v>
      </c>
      <c r="D158" s="43" t="n">
        <v>0.354166666666667</v>
      </c>
      <c r="E158" s="41" t="s">
        <v>93</v>
      </c>
      <c r="F158" s="41" t="s">
        <v>88</v>
      </c>
      <c r="G158" s="41" t="n">
        <v>1</v>
      </c>
      <c r="H158" s="41" t="s">
        <v>94</v>
      </c>
      <c r="I158" s="44" t="s">
        <v>95</v>
      </c>
      <c r="J158" s="44" t="s">
        <v>96</v>
      </c>
    </row>
    <row r="159" customFormat="false" ht="15" hidden="false" customHeight="false" outlineLevel="0" collapsed="false">
      <c r="B159" s="41" t="s">
        <v>11</v>
      </c>
      <c r="C159" s="42" t="n">
        <v>46211</v>
      </c>
      <c r="D159" s="43" t="n">
        <v>0.479166666666667</v>
      </c>
      <c r="E159" s="41" t="s">
        <v>97</v>
      </c>
      <c r="F159" s="41" t="s">
        <v>88</v>
      </c>
      <c r="G159" s="41" t="n">
        <v>2</v>
      </c>
      <c r="H159" s="41" t="s">
        <v>94</v>
      </c>
      <c r="I159" s="44"/>
      <c r="J159" s="44" t="s">
        <v>96</v>
      </c>
    </row>
    <row r="160" customFormat="false" ht="15" hidden="false" customHeight="false" outlineLevel="0" collapsed="false">
      <c r="B160" s="41" t="s">
        <v>11</v>
      </c>
      <c r="C160" s="42" t="n">
        <v>46211</v>
      </c>
      <c r="D160" s="43" t="n">
        <v>0.5625</v>
      </c>
      <c r="E160" s="41"/>
      <c r="F160" s="41" t="s">
        <v>88</v>
      </c>
      <c r="G160" s="41" t="n">
        <v>3</v>
      </c>
      <c r="H160" s="41" t="s">
        <v>23</v>
      </c>
      <c r="I160" s="44"/>
      <c r="J160" s="44" t="s">
        <v>96</v>
      </c>
    </row>
    <row r="161" customFormat="false" ht="15" hidden="false" customHeight="false" outlineLevel="0" collapsed="false">
      <c r="B161" s="41" t="s">
        <v>11</v>
      </c>
      <c r="C161" s="42" t="n">
        <v>46211</v>
      </c>
      <c r="D161" s="43" t="n">
        <v>0.708333333333333</v>
      </c>
      <c r="E161" s="41"/>
      <c r="F161" s="41" t="s">
        <v>88</v>
      </c>
      <c r="G161" s="41" t="n">
        <v>4</v>
      </c>
      <c r="H161" s="41" t="s">
        <v>24</v>
      </c>
      <c r="I161" s="44"/>
      <c r="J161" s="44" t="s">
        <v>96</v>
      </c>
    </row>
    <row r="162" customFormat="false" ht="15" hidden="false" customHeight="false" outlineLevel="0" collapsed="false">
      <c r="B162" s="41" t="s">
        <v>11</v>
      </c>
      <c r="C162" s="42" t="n">
        <v>46211</v>
      </c>
      <c r="D162" s="43" t="n">
        <v>0.833333333333333</v>
      </c>
      <c r="E162" s="41"/>
      <c r="F162" s="41" t="s">
        <v>88</v>
      </c>
      <c r="G162" s="41" t="n">
        <v>5</v>
      </c>
      <c r="H162" s="41" t="s">
        <v>98</v>
      </c>
      <c r="I162" s="44"/>
      <c r="J162" s="44" t="s">
        <v>96</v>
      </c>
    </row>
    <row r="163" customFormat="false" ht="15" hidden="false" customHeight="false" outlineLevel="0" collapsed="false">
      <c r="B163" s="41" t="s">
        <v>9</v>
      </c>
      <c r="C163" s="42" t="n">
        <v>46211</v>
      </c>
      <c r="D163" s="43" t="n">
        <v>0.385416666666667</v>
      </c>
      <c r="E163" s="41" t="s">
        <v>102</v>
      </c>
      <c r="F163" s="41" t="s">
        <v>88</v>
      </c>
      <c r="G163" s="41" t="n">
        <v>1</v>
      </c>
      <c r="H163" s="41" t="s">
        <v>94</v>
      </c>
      <c r="I163" s="44"/>
      <c r="J163" s="44" t="s">
        <v>100</v>
      </c>
    </row>
    <row r="164" customFormat="false" ht="15" hidden="false" customHeight="false" outlineLevel="0" collapsed="false">
      <c r="B164" s="41" t="s">
        <v>9</v>
      </c>
      <c r="C164" s="42" t="n">
        <v>46211</v>
      </c>
      <c r="D164" s="43" t="n">
        <v>0.479166666666667</v>
      </c>
      <c r="E164" s="41" t="s">
        <v>109</v>
      </c>
      <c r="F164" s="41" t="s">
        <v>88</v>
      </c>
      <c r="G164" s="41" t="n">
        <v>2</v>
      </c>
      <c r="H164" s="41" t="s">
        <v>94</v>
      </c>
      <c r="I164" s="44"/>
      <c r="J164" s="44" t="s">
        <v>100</v>
      </c>
    </row>
    <row r="165" customFormat="false" ht="15" hidden="false" customHeight="false" outlineLevel="0" collapsed="false">
      <c r="B165" s="41" t="s">
        <v>9</v>
      </c>
      <c r="C165" s="42" t="n">
        <v>46211</v>
      </c>
      <c r="D165" s="43" t="n">
        <v>0.541666666666667</v>
      </c>
      <c r="E165" s="41"/>
      <c r="F165" s="41" t="s">
        <v>88</v>
      </c>
      <c r="G165" s="41" t="n">
        <v>3</v>
      </c>
      <c r="H165" s="41" t="s">
        <v>23</v>
      </c>
      <c r="I165" s="44"/>
      <c r="J165" s="44" t="s">
        <v>100</v>
      </c>
    </row>
    <row r="166" customFormat="false" ht="15" hidden="false" customHeight="false" outlineLevel="0" collapsed="false">
      <c r="B166" s="41" t="s">
        <v>9</v>
      </c>
      <c r="C166" s="42" t="n">
        <v>46211</v>
      </c>
      <c r="D166" s="43" t="n">
        <v>0.708333333333333</v>
      </c>
      <c r="E166" s="41"/>
      <c r="F166" s="41" t="s">
        <v>88</v>
      </c>
      <c r="G166" s="41" t="n">
        <v>4</v>
      </c>
      <c r="H166" s="41" t="s">
        <v>24</v>
      </c>
      <c r="I166" s="44"/>
      <c r="J166" s="44" t="s">
        <v>100</v>
      </c>
    </row>
    <row r="167" customFormat="false" ht="15" hidden="false" customHeight="false" outlineLevel="0" collapsed="false">
      <c r="B167" s="41" t="s">
        <v>9</v>
      </c>
      <c r="C167" s="42" t="n">
        <v>46211</v>
      </c>
      <c r="D167" s="43" t="n">
        <v>0.833333333333333</v>
      </c>
      <c r="E167" s="41"/>
      <c r="F167" s="41" t="s">
        <v>88</v>
      </c>
      <c r="G167" s="41" t="n">
        <v>5</v>
      </c>
      <c r="H167" s="41" t="s">
        <v>98</v>
      </c>
      <c r="I167" s="44"/>
      <c r="J167" s="44" t="s">
        <v>100</v>
      </c>
    </row>
    <row r="168" customFormat="false" ht="15" hidden="false" customHeight="false" outlineLevel="0" collapsed="false">
      <c r="B168" s="41" t="s">
        <v>14</v>
      </c>
      <c r="C168" s="42" t="n">
        <v>46211</v>
      </c>
      <c r="D168" s="43" t="n">
        <v>0.520833333333333</v>
      </c>
      <c r="E168" s="41" t="s">
        <v>102</v>
      </c>
      <c r="F168" s="41" t="s">
        <v>88</v>
      </c>
      <c r="G168" s="41" t="n">
        <v>1</v>
      </c>
      <c r="H168" s="41" t="s">
        <v>103</v>
      </c>
      <c r="I168" s="44"/>
      <c r="J168" s="44" t="s">
        <v>104</v>
      </c>
    </row>
    <row r="169" customFormat="false" ht="15" hidden="false" customHeight="false" outlineLevel="0" collapsed="false">
      <c r="B169" s="41" t="s">
        <v>15</v>
      </c>
      <c r="C169" s="42" t="n">
        <v>46211</v>
      </c>
      <c r="D169" s="43" t="n">
        <v>0.75</v>
      </c>
      <c r="E169" s="41"/>
      <c r="F169" s="41" t="s">
        <v>88</v>
      </c>
      <c r="G169" s="41" t="n">
        <v>1</v>
      </c>
      <c r="H169" s="41" t="s">
        <v>26</v>
      </c>
      <c r="I169" s="44"/>
      <c r="J169" s="44" t="s">
        <v>120</v>
      </c>
    </row>
    <row r="170" customFormat="false" ht="15" hidden="false" customHeight="false" outlineLevel="0" collapsed="false">
      <c r="B170" s="41" t="s">
        <v>16</v>
      </c>
      <c r="C170" s="42" t="n">
        <v>46211</v>
      </c>
      <c r="D170" s="43" t="n">
        <v>0.333333333333333</v>
      </c>
      <c r="E170" s="41"/>
      <c r="F170" s="41" t="s">
        <v>88</v>
      </c>
      <c r="G170" s="41" t="n">
        <v>1</v>
      </c>
      <c r="H170" s="41"/>
      <c r="I170" s="44"/>
      <c r="J170" s="44" t="s">
        <v>105</v>
      </c>
    </row>
    <row r="171" customFormat="false" ht="15" hidden="false" customHeight="false" outlineLevel="0" collapsed="false">
      <c r="B171" s="41" t="s">
        <v>16</v>
      </c>
      <c r="C171" s="42" t="n">
        <v>46211</v>
      </c>
      <c r="D171" s="43" t="n">
        <v>0.5</v>
      </c>
      <c r="E171" s="41"/>
      <c r="F171" s="41" t="s">
        <v>88</v>
      </c>
      <c r="G171" s="41" t="n">
        <v>2</v>
      </c>
      <c r="H171" s="41"/>
      <c r="I171" s="44"/>
      <c r="J171" s="44" t="s">
        <v>105</v>
      </c>
    </row>
    <row r="172" customFormat="false" ht="15" hidden="false" customHeight="false" outlineLevel="0" collapsed="false">
      <c r="B172" s="41" t="s">
        <v>16</v>
      </c>
      <c r="C172" s="42" t="n">
        <v>46211</v>
      </c>
      <c r="D172" s="43" t="n">
        <v>0.583333333333333</v>
      </c>
      <c r="E172" s="41"/>
      <c r="F172" s="41" t="s">
        <v>88</v>
      </c>
      <c r="G172" s="41" t="n">
        <v>3</v>
      </c>
      <c r="H172" s="41" t="s">
        <v>106</v>
      </c>
      <c r="I172" s="44"/>
      <c r="J172" s="44" t="s">
        <v>105</v>
      </c>
    </row>
    <row r="173" customFormat="false" ht="15" hidden="false" customHeight="false" outlineLevel="0" collapsed="false">
      <c r="B173" s="41" t="s">
        <v>16</v>
      </c>
      <c r="C173" s="42" t="n">
        <v>46211</v>
      </c>
      <c r="D173" s="43" t="n">
        <v>0.666666666666667</v>
      </c>
      <c r="E173" s="41"/>
      <c r="F173" s="41" t="s">
        <v>88</v>
      </c>
      <c r="G173" s="41" t="n">
        <v>4</v>
      </c>
      <c r="H173" s="41" t="s">
        <v>106</v>
      </c>
      <c r="I173" s="44"/>
      <c r="J173" s="44" t="s">
        <v>105</v>
      </c>
    </row>
    <row r="174" customFormat="false" ht="15" hidden="false" customHeight="false" outlineLevel="0" collapsed="false">
      <c r="B174" s="41" t="s">
        <v>16</v>
      </c>
      <c r="C174" s="42" t="n">
        <v>46211</v>
      </c>
      <c r="D174" s="43" t="n">
        <v>0.75</v>
      </c>
      <c r="E174" s="41"/>
      <c r="F174" s="41" t="s">
        <v>88</v>
      </c>
      <c r="G174" s="41" t="n">
        <v>5</v>
      </c>
      <c r="H174" s="41" t="s">
        <v>106</v>
      </c>
      <c r="I174" s="44"/>
      <c r="J174" s="44" t="s">
        <v>105</v>
      </c>
    </row>
    <row r="175" customFormat="false" ht="15" hidden="false" customHeight="false" outlineLevel="0" collapsed="false">
      <c r="B175" s="41" t="s">
        <v>8</v>
      </c>
      <c r="C175" s="42" t="n">
        <v>46211</v>
      </c>
      <c r="D175" s="43" t="n">
        <v>0.354166666666667</v>
      </c>
      <c r="E175" s="41" t="s">
        <v>93</v>
      </c>
      <c r="F175" s="41" t="s">
        <v>88</v>
      </c>
      <c r="G175" s="41" t="n">
        <v>1</v>
      </c>
      <c r="H175" s="41" t="s">
        <v>94</v>
      </c>
      <c r="I175" s="44"/>
      <c r="J175" s="44" t="s">
        <v>107</v>
      </c>
    </row>
    <row r="176" customFormat="false" ht="15" hidden="false" customHeight="false" outlineLevel="0" collapsed="false">
      <c r="B176" s="41" t="s">
        <v>8</v>
      </c>
      <c r="C176" s="42" t="n">
        <v>46211</v>
      </c>
      <c r="D176" s="43" t="n">
        <v>0.458333333333333</v>
      </c>
      <c r="E176" s="41" t="s">
        <v>97</v>
      </c>
      <c r="F176" s="41" t="s">
        <v>88</v>
      </c>
      <c r="G176" s="41" t="n">
        <v>2</v>
      </c>
      <c r="H176" s="41" t="s">
        <v>94</v>
      </c>
      <c r="I176" s="44"/>
      <c r="J176" s="44" t="s">
        <v>107</v>
      </c>
    </row>
    <row r="177" customFormat="false" ht="15" hidden="false" customHeight="false" outlineLevel="0" collapsed="false">
      <c r="B177" s="41" t="s">
        <v>8</v>
      </c>
      <c r="C177" s="42" t="n">
        <v>46211</v>
      </c>
      <c r="D177" s="43" t="n">
        <v>0.520833333333333</v>
      </c>
      <c r="E177" s="41"/>
      <c r="F177" s="41" t="s">
        <v>88</v>
      </c>
      <c r="G177" s="41" t="n">
        <v>3</v>
      </c>
      <c r="H177" s="41" t="s">
        <v>22</v>
      </c>
      <c r="I177" s="44"/>
      <c r="J177" s="44" t="s">
        <v>107</v>
      </c>
    </row>
    <row r="178" customFormat="false" ht="15" hidden="false" customHeight="false" outlineLevel="0" collapsed="false">
      <c r="B178" s="41" t="s">
        <v>8</v>
      </c>
      <c r="C178" s="42" t="n">
        <v>46211</v>
      </c>
      <c r="D178" s="43" t="n">
        <v>0.5625</v>
      </c>
      <c r="E178" s="41"/>
      <c r="F178" s="41" t="s">
        <v>88</v>
      </c>
      <c r="G178" s="41" t="n">
        <v>4</v>
      </c>
      <c r="H178" s="41" t="s">
        <v>23</v>
      </c>
      <c r="I178" s="44"/>
      <c r="J178" s="44" t="s">
        <v>107</v>
      </c>
    </row>
    <row r="179" customFormat="false" ht="15" hidden="false" customHeight="false" outlineLevel="0" collapsed="false">
      <c r="B179" s="41" t="s">
        <v>8</v>
      </c>
      <c r="C179" s="42" t="n">
        <v>46211</v>
      </c>
      <c r="D179" s="43" t="n">
        <v>0.708333333333333</v>
      </c>
      <c r="E179" s="41"/>
      <c r="F179" s="41" t="s">
        <v>88</v>
      </c>
      <c r="G179" s="41" t="n">
        <v>5</v>
      </c>
      <c r="H179" s="41" t="s">
        <v>24</v>
      </c>
      <c r="I179" s="44"/>
      <c r="J179" s="44" t="s">
        <v>107</v>
      </c>
    </row>
    <row r="180" customFormat="false" ht="15" hidden="false" customHeight="false" outlineLevel="0" collapsed="false">
      <c r="B180" s="41" t="s">
        <v>8</v>
      </c>
      <c r="C180" s="42" t="n">
        <v>46211</v>
      </c>
      <c r="D180" s="43" t="n">
        <v>0.833333333333333</v>
      </c>
      <c r="E180" s="41"/>
      <c r="F180" s="41" t="s">
        <v>88</v>
      </c>
      <c r="G180" s="41" t="n">
        <v>6</v>
      </c>
      <c r="H180" s="41" t="s">
        <v>98</v>
      </c>
      <c r="I180" s="44"/>
      <c r="J180" s="44" t="s">
        <v>107</v>
      </c>
    </row>
    <row r="181" customFormat="false" ht="15" hidden="false" customHeight="false" outlineLevel="0" collapsed="false">
      <c r="B181" s="41" t="s">
        <v>18</v>
      </c>
      <c r="C181" s="42" t="n">
        <v>46211</v>
      </c>
      <c r="D181" s="43"/>
      <c r="E181" s="41"/>
      <c r="F181" s="41" t="s">
        <v>88</v>
      </c>
      <c r="G181" s="41" t="n">
        <v>1</v>
      </c>
      <c r="H181" s="41" t="s">
        <v>110</v>
      </c>
      <c r="I181" s="44" t="s">
        <v>111</v>
      </c>
      <c r="J181" s="44" t="s">
        <v>112</v>
      </c>
    </row>
    <row r="182" customFormat="false" ht="15" hidden="false" customHeight="false" outlineLevel="0" collapsed="false">
      <c r="B182" s="41" t="s">
        <v>10</v>
      </c>
      <c r="C182" s="42" t="n">
        <v>46211</v>
      </c>
      <c r="D182" s="43" t="n">
        <v>0.385416666666667</v>
      </c>
      <c r="E182" s="41" t="s">
        <v>102</v>
      </c>
      <c r="F182" s="41" t="s">
        <v>88</v>
      </c>
      <c r="G182" s="41" t="n">
        <v>1</v>
      </c>
      <c r="H182" s="41" t="s">
        <v>94</v>
      </c>
      <c r="I182" s="44"/>
      <c r="J182" s="44" t="s">
        <v>125</v>
      </c>
    </row>
    <row r="183" customFormat="false" ht="15" hidden="false" customHeight="false" outlineLevel="0" collapsed="false">
      <c r="B183" s="41" t="s">
        <v>10</v>
      </c>
      <c r="C183" s="42" t="n">
        <v>46211</v>
      </c>
      <c r="D183" s="43" t="n">
        <v>0.46875</v>
      </c>
      <c r="E183" s="41" t="s">
        <v>109</v>
      </c>
      <c r="F183" s="41" t="s">
        <v>88</v>
      </c>
      <c r="G183" s="41" t="n">
        <v>2</v>
      </c>
      <c r="H183" s="41" t="s">
        <v>94</v>
      </c>
      <c r="I183" s="44"/>
      <c r="J183" s="44" t="s">
        <v>125</v>
      </c>
    </row>
    <row r="184" customFormat="false" ht="15" hidden="false" customHeight="false" outlineLevel="0" collapsed="false">
      <c r="B184" s="41" t="s">
        <v>10</v>
      </c>
      <c r="C184" s="42" t="n">
        <v>46211</v>
      </c>
      <c r="D184" s="43" t="n">
        <v>0.541666666666667</v>
      </c>
      <c r="E184" s="41"/>
      <c r="F184" s="41" t="s">
        <v>88</v>
      </c>
      <c r="G184" s="41" t="n">
        <v>3</v>
      </c>
      <c r="H184" s="41" t="s">
        <v>23</v>
      </c>
      <c r="I184" s="44"/>
      <c r="J184" s="44" t="s">
        <v>125</v>
      </c>
    </row>
    <row r="185" customFormat="false" ht="15" hidden="false" customHeight="false" outlineLevel="0" collapsed="false">
      <c r="B185" s="41" t="s">
        <v>10</v>
      </c>
      <c r="C185" s="42" t="n">
        <v>46211</v>
      </c>
      <c r="D185" s="43" t="n">
        <v>0.708333333333333</v>
      </c>
      <c r="E185" s="41"/>
      <c r="F185" s="41" t="s">
        <v>88</v>
      </c>
      <c r="G185" s="41" t="n">
        <v>4</v>
      </c>
      <c r="H185" s="41" t="s">
        <v>24</v>
      </c>
      <c r="I185" s="44"/>
      <c r="J185" s="44" t="s">
        <v>125</v>
      </c>
    </row>
    <row r="186" customFormat="false" ht="15" hidden="false" customHeight="false" outlineLevel="0" collapsed="false">
      <c r="B186" s="41" t="s">
        <v>10</v>
      </c>
      <c r="C186" s="42" t="n">
        <v>46211</v>
      </c>
      <c r="D186" s="43" t="n">
        <v>0.833333333333333</v>
      </c>
      <c r="E186" s="41"/>
      <c r="F186" s="41" t="s">
        <v>88</v>
      </c>
      <c r="G186" s="41" t="n">
        <v>5</v>
      </c>
      <c r="H186" s="41" t="s">
        <v>98</v>
      </c>
      <c r="I186" s="44"/>
      <c r="J186" s="44" t="s">
        <v>125</v>
      </c>
    </row>
    <row r="187" customFormat="false" ht="15" hidden="false" customHeight="false" outlineLevel="0" collapsed="false">
      <c r="B187" s="41" t="s">
        <v>12</v>
      </c>
      <c r="C187" s="42" t="n">
        <v>46211</v>
      </c>
      <c r="D187" s="43" t="n">
        <v>0.34375</v>
      </c>
      <c r="E187" s="41"/>
      <c r="F187" s="41" t="s">
        <v>88</v>
      </c>
      <c r="G187" s="41" t="n">
        <v>1</v>
      </c>
      <c r="H187" s="41" t="s">
        <v>12</v>
      </c>
      <c r="I187" s="44" t="s">
        <v>114</v>
      </c>
      <c r="J187" s="44" t="s">
        <v>115</v>
      </c>
    </row>
    <row r="188" customFormat="false" ht="15" hidden="false" customHeight="false" outlineLevel="0" collapsed="false">
      <c r="B188" s="41" t="s">
        <v>12</v>
      </c>
      <c r="C188" s="42" t="n">
        <v>46211</v>
      </c>
      <c r="D188" s="43" t="n">
        <v>0.416666666666667</v>
      </c>
      <c r="E188" s="41"/>
      <c r="F188" s="41" t="s">
        <v>88</v>
      </c>
      <c r="G188" s="41" t="n">
        <v>2</v>
      </c>
      <c r="H188" s="41" t="s">
        <v>12</v>
      </c>
      <c r="I188" s="44"/>
      <c r="J188" s="44" t="s">
        <v>115</v>
      </c>
    </row>
    <row r="189" customFormat="false" ht="15" hidden="false" customHeight="false" outlineLevel="0" collapsed="false">
      <c r="B189" s="41" t="s">
        <v>12</v>
      </c>
      <c r="C189" s="42" t="n">
        <v>46211</v>
      </c>
      <c r="D189" s="43" t="n">
        <v>0.5</v>
      </c>
      <c r="E189" s="41"/>
      <c r="F189" s="41" t="s">
        <v>88</v>
      </c>
      <c r="G189" s="41" t="n">
        <v>3</v>
      </c>
      <c r="H189" s="41" t="s">
        <v>113</v>
      </c>
      <c r="I189" s="44"/>
      <c r="J189" s="44" t="s">
        <v>115</v>
      </c>
    </row>
    <row r="190" customFormat="false" ht="15" hidden="false" customHeight="false" outlineLevel="0" collapsed="false">
      <c r="B190" s="41" t="s">
        <v>12</v>
      </c>
      <c r="C190" s="42" t="n">
        <v>46211</v>
      </c>
      <c r="D190" s="43" t="n">
        <v>0.583333333333333</v>
      </c>
      <c r="E190" s="41"/>
      <c r="F190" s="41" t="s">
        <v>88</v>
      </c>
      <c r="G190" s="41" t="n">
        <v>4</v>
      </c>
      <c r="H190" s="41" t="s">
        <v>12</v>
      </c>
      <c r="I190" s="44"/>
      <c r="J190" s="44" t="s">
        <v>115</v>
      </c>
    </row>
    <row r="191" customFormat="false" ht="15" hidden="false" customHeight="false" outlineLevel="0" collapsed="false">
      <c r="B191" s="41" t="s">
        <v>11</v>
      </c>
      <c r="C191" s="42" t="n">
        <v>46212</v>
      </c>
      <c r="D191" s="43" t="n">
        <v>0.354166666666667</v>
      </c>
      <c r="E191" s="41" t="s">
        <v>93</v>
      </c>
      <c r="F191" s="41" t="s">
        <v>88</v>
      </c>
      <c r="G191" s="41" t="n">
        <v>1</v>
      </c>
      <c r="H191" s="41"/>
      <c r="I191" s="44" t="s">
        <v>95</v>
      </c>
      <c r="J191" s="44" t="s">
        <v>96</v>
      </c>
    </row>
    <row r="192" customFormat="false" ht="15" hidden="false" customHeight="false" outlineLevel="0" collapsed="false">
      <c r="B192" s="41" t="s">
        <v>11</v>
      </c>
      <c r="C192" s="42" t="n">
        <v>46212</v>
      </c>
      <c r="D192" s="43" t="n">
        <v>0.479166666666667</v>
      </c>
      <c r="E192" s="41" t="s">
        <v>97</v>
      </c>
      <c r="F192" s="41" t="s">
        <v>88</v>
      </c>
      <c r="G192" s="41" t="n">
        <v>2</v>
      </c>
      <c r="H192" s="41"/>
      <c r="I192" s="44"/>
      <c r="J192" s="44" t="s">
        <v>96</v>
      </c>
    </row>
    <row r="193" customFormat="false" ht="15" hidden="false" customHeight="false" outlineLevel="0" collapsed="false">
      <c r="B193" s="41" t="s">
        <v>11</v>
      </c>
      <c r="C193" s="42" t="n">
        <v>46212</v>
      </c>
      <c r="D193" s="43" t="n">
        <v>0.604166666666667</v>
      </c>
      <c r="E193" s="41"/>
      <c r="F193" s="41" t="s">
        <v>88</v>
      </c>
      <c r="G193" s="41" t="n">
        <v>3</v>
      </c>
      <c r="H193" s="41" t="s">
        <v>23</v>
      </c>
      <c r="I193" s="44"/>
      <c r="J193" s="44" t="s">
        <v>96</v>
      </c>
    </row>
    <row r="194" customFormat="false" ht="15" hidden="false" customHeight="false" outlineLevel="0" collapsed="false">
      <c r="B194" s="41" t="s">
        <v>11</v>
      </c>
      <c r="C194" s="42" t="n">
        <v>46212</v>
      </c>
      <c r="D194" s="43" t="n">
        <v>0.666666666666667</v>
      </c>
      <c r="E194" s="41" t="s">
        <v>92</v>
      </c>
      <c r="F194" s="41" t="s">
        <v>88</v>
      </c>
      <c r="G194" s="41" t="n">
        <v>4</v>
      </c>
      <c r="H194" s="41"/>
      <c r="I194" s="44"/>
      <c r="J194" s="44" t="s">
        <v>96</v>
      </c>
    </row>
    <row r="195" customFormat="false" ht="15" hidden="false" customHeight="false" outlineLevel="0" collapsed="false">
      <c r="B195" s="41" t="s">
        <v>11</v>
      </c>
      <c r="C195" s="42" t="n">
        <v>46212</v>
      </c>
      <c r="D195" s="43" t="n">
        <v>0.833333333333333</v>
      </c>
      <c r="E195" s="41"/>
      <c r="F195" s="41" t="s">
        <v>88</v>
      </c>
      <c r="G195" s="41" t="n">
        <v>5</v>
      </c>
      <c r="H195" s="41" t="s">
        <v>98</v>
      </c>
      <c r="I195" s="44"/>
      <c r="J195" s="44" t="s">
        <v>96</v>
      </c>
    </row>
    <row r="196" customFormat="false" ht="15" hidden="false" customHeight="false" outlineLevel="0" collapsed="false">
      <c r="B196" s="41" t="s">
        <v>9</v>
      </c>
      <c r="C196" s="42" t="n">
        <v>46212</v>
      </c>
      <c r="D196" s="43" t="n">
        <v>0.416666666666667</v>
      </c>
      <c r="E196" s="41" t="s">
        <v>99</v>
      </c>
      <c r="F196" s="41" t="s">
        <v>88</v>
      </c>
      <c r="G196" s="41" t="n">
        <v>1</v>
      </c>
      <c r="H196" s="41"/>
      <c r="I196" s="44"/>
      <c r="J196" s="44" t="s">
        <v>100</v>
      </c>
    </row>
    <row r="197" customFormat="false" ht="15" hidden="false" customHeight="false" outlineLevel="0" collapsed="false">
      <c r="B197" s="41" t="s">
        <v>9</v>
      </c>
      <c r="C197" s="42" t="n">
        <v>46212</v>
      </c>
      <c r="D197" s="43" t="n">
        <v>0.479166666666667</v>
      </c>
      <c r="E197" s="41" t="s">
        <v>101</v>
      </c>
      <c r="F197" s="41" t="s">
        <v>88</v>
      </c>
      <c r="G197" s="41" t="n">
        <v>2</v>
      </c>
      <c r="H197" s="41"/>
      <c r="I197" s="44"/>
      <c r="J197" s="44" t="s">
        <v>100</v>
      </c>
    </row>
    <row r="198" customFormat="false" ht="15" hidden="false" customHeight="false" outlineLevel="0" collapsed="false">
      <c r="B198" s="41" t="s">
        <v>9</v>
      </c>
      <c r="C198" s="42" t="n">
        <v>46212</v>
      </c>
      <c r="D198" s="43" t="n">
        <v>0.541666666666667</v>
      </c>
      <c r="E198" s="41"/>
      <c r="F198" s="41" t="s">
        <v>88</v>
      </c>
      <c r="G198" s="41" t="n">
        <v>3</v>
      </c>
      <c r="H198" s="41" t="s">
        <v>23</v>
      </c>
      <c r="I198" s="44"/>
      <c r="J198" s="44" t="s">
        <v>100</v>
      </c>
    </row>
    <row r="199" customFormat="false" ht="15" hidden="false" customHeight="false" outlineLevel="0" collapsed="false">
      <c r="B199" s="41" t="s">
        <v>9</v>
      </c>
      <c r="C199" s="42" t="n">
        <v>46212</v>
      </c>
      <c r="D199" s="43" t="n">
        <v>0.645833333333333</v>
      </c>
      <c r="E199" s="41" t="s">
        <v>92</v>
      </c>
      <c r="F199" s="41" t="s">
        <v>88</v>
      </c>
      <c r="G199" s="41" t="n">
        <v>4</v>
      </c>
      <c r="H199" s="41"/>
      <c r="I199" s="44"/>
      <c r="J199" s="44" t="s">
        <v>100</v>
      </c>
    </row>
    <row r="200" customFormat="false" ht="15" hidden="false" customHeight="false" outlineLevel="0" collapsed="false">
      <c r="B200" s="41" t="s">
        <v>9</v>
      </c>
      <c r="C200" s="42" t="n">
        <v>46212</v>
      </c>
      <c r="D200" s="43" t="n">
        <v>0.708333333333333</v>
      </c>
      <c r="E200" s="41" t="s">
        <v>92</v>
      </c>
      <c r="F200" s="41" t="s">
        <v>88</v>
      </c>
      <c r="G200" s="41" t="n">
        <v>5</v>
      </c>
      <c r="H200" s="41"/>
      <c r="I200" s="44"/>
      <c r="J200" s="44" t="s">
        <v>100</v>
      </c>
    </row>
    <row r="201" customFormat="false" ht="15" hidden="false" customHeight="false" outlineLevel="0" collapsed="false">
      <c r="B201" s="41" t="s">
        <v>9</v>
      </c>
      <c r="C201" s="42" t="n">
        <v>46212</v>
      </c>
      <c r="D201" s="43" t="n">
        <v>0.833333333333333</v>
      </c>
      <c r="E201" s="41"/>
      <c r="F201" s="41" t="s">
        <v>88</v>
      </c>
      <c r="G201" s="41" t="n">
        <v>6</v>
      </c>
      <c r="H201" s="41" t="s">
        <v>98</v>
      </c>
      <c r="I201" s="44"/>
      <c r="J201" s="44" t="s">
        <v>100</v>
      </c>
    </row>
    <row r="202" customFormat="false" ht="15" hidden="false" customHeight="false" outlineLevel="0" collapsed="false">
      <c r="B202" s="41" t="s">
        <v>14</v>
      </c>
      <c r="C202" s="42" t="n">
        <v>46212</v>
      </c>
      <c r="D202" s="43" t="n">
        <v>0.520833333333333</v>
      </c>
      <c r="E202" s="41" t="s">
        <v>102</v>
      </c>
      <c r="F202" s="41" t="s">
        <v>88</v>
      </c>
      <c r="G202" s="41" t="n">
        <v>1</v>
      </c>
      <c r="H202" s="41" t="s">
        <v>103</v>
      </c>
      <c r="I202" s="44"/>
      <c r="J202" s="44" t="s">
        <v>104</v>
      </c>
    </row>
    <row r="203" customFormat="false" ht="15" hidden="false" customHeight="false" outlineLevel="0" collapsed="false">
      <c r="B203" s="41" t="s">
        <v>15</v>
      </c>
      <c r="C203" s="42" t="n">
        <v>46212</v>
      </c>
      <c r="D203" s="43" t="n">
        <v>0.75</v>
      </c>
      <c r="E203" s="41"/>
      <c r="F203" s="41" t="s">
        <v>88</v>
      </c>
      <c r="G203" s="41" t="n">
        <v>1</v>
      </c>
      <c r="H203" s="41" t="s">
        <v>26</v>
      </c>
      <c r="I203" s="44"/>
      <c r="J203" s="44" t="s">
        <v>120</v>
      </c>
    </row>
    <row r="204" customFormat="false" ht="15" hidden="false" customHeight="false" outlineLevel="0" collapsed="false">
      <c r="B204" s="41" t="s">
        <v>16</v>
      </c>
      <c r="C204" s="42" t="n">
        <v>46212</v>
      </c>
      <c r="D204" s="43" t="n">
        <v>0.333333333333333</v>
      </c>
      <c r="E204" s="41"/>
      <c r="F204" s="41" t="s">
        <v>88</v>
      </c>
      <c r="G204" s="41" t="n">
        <v>1</v>
      </c>
      <c r="H204" s="41"/>
      <c r="I204" s="44"/>
      <c r="J204" s="44" t="s">
        <v>105</v>
      </c>
    </row>
    <row r="205" customFormat="false" ht="15" hidden="false" customHeight="false" outlineLevel="0" collapsed="false">
      <c r="B205" s="41" t="s">
        <v>16</v>
      </c>
      <c r="C205" s="42" t="n">
        <v>46212</v>
      </c>
      <c r="D205" s="43" t="n">
        <v>0.5</v>
      </c>
      <c r="E205" s="41"/>
      <c r="F205" s="41" t="s">
        <v>88</v>
      </c>
      <c r="G205" s="41" t="n">
        <v>2</v>
      </c>
      <c r="H205" s="41"/>
      <c r="I205" s="44"/>
      <c r="J205" s="44" t="s">
        <v>105</v>
      </c>
    </row>
    <row r="206" customFormat="false" ht="15" hidden="false" customHeight="false" outlineLevel="0" collapsed="false">
      <c r="B206" s="41" t="s">
        <v>16</v>
      </c>
      <c r="C206" s="42" t="n">
        <v>46212</v>
      </c>
      <c r="D206" s="43" t="n">
        <v>0.583333333333333</v>
      </c>
      <c r="E206" s="41"/>
      <c r="F206" s="41" t="s">
        <v>88</v>
      </c>
      <c r="G206" s="41" t="n">
        <v>3</v>
      </c>
      <c r="H206" s="41" t="s">
        <v>106</v>
      </c>
      <c r="I206" s="44"/>
      <c r="J206" s="44" t="s">
        <v>105</v>
      </c>
    </row>
    <row r="207" customFormat="false" ht="15" hidden="false" customHeight="false" outlineLevel="0" collapsed="false">
      <c r="B207" s="41" t="s">
        <v>16</v>
      </c>
      <c r="C207" s="42" t="n">
        <v>46212</v>
      </c>
      <c r="D207" s="43" t="n">
        <v>0.666666666666667</v>
      </c>
      <c r="E207" s="41"/>
      <c r="F207" s="41" t="s">
        <v>88</v>
      </c>
      <c r="G207" s="41" t="n">
        <v>4</v>
      </c>
      <c r="H207" s="41" t="s">
        <v>106</v>
      </c>
      <c r="I207" s="44"/>
      <c r="J207" s="44" t="s">
        <v>105</v>
      </c>
    </row>
    <row r="208" customFormat="false" ht="15" hidden="false" customHeight="false" outlineLevel="0" collapsed="false">
      <c r="B208" s="41" t="s">
        <v>16</v>
      </c>
      <c r="C208" s="42" t="n">
        <v>46212</v>
      </c>
      <c r="D208" s="43" t="n">
        <v>0.75</v>
      </c>
      <c r="E208" s="41"/>
      <c r="F208" s="41" t="s">
        <v>88</v>
      </c>
      <c r="G208" s="41" t="n">
        <v>5</v>
      </c>
      <c r="H208" s="41" t="s">
        <v>106</v>
      </c>
      <c r="I208" s="44"/>
      <c r="J208" s="44" t="s">
        <v>105</v>
      </c>
    </row>
    <row r="209" customFormat="false" ht="15" hidden="false" customHeight="false" outlineLevel="0" collapsed="false">
      <c r="B209" s="41" t="s">
        <v>8</v>
      </c>
      <c r="C209" s="42" t="n">
        <v>46212</v>
      </c>
      <c r="D209" s="43" t="n">
        <v>0.34375</v>
      </c>
      <c r="E209" s="41" t="s">
        <v>93</v>
      </c>
      <c r="F209" s="41" t="s">
        <v>88</v>
      </c>
      <c r="G209" s="41" t="n">
        <v>1</v>
      </c>
      <c r="H209" s="41"/>
      <c r="I209" s="44"/>
      <c r="J209" s="44" t="s">
        <v>107</v>
      </c>
    </row>
    <row r="210" customFormat="false" ht="15" hidden="false" customHeight="false" outlineLevel="0" collapsed="false">
      <c r="B210" s="41" t="s">
        <v>8</v>
      </c>
      <c r="C210" s="42" t="n">
        <v>46212</v>
      </c>
      <c r="D210" s="43" t="n">
        <v>0.385416666666667</v>
      </c>
      <c r="E210" s="41" t="s">
        <v>108</v>
      </c>
      <c r="F210" s="41" t="s">
        <v>88</v>
      </c>
      <c r="G210" s="41" t="n">
        <v>2</v>
      </c>
      <c r="H210" s="41"/>
      <c r="I210" s="44"/>
      <c r="J210" s="44" t="s">
        <v>107</v>
      </c>
    </row>
    <row r="211" customFormat="false" ht="15" hidden="false" customHeight="false" outlineLevel="0" collapsed="false">
      <c r="B211" s="41" t="s">
        <v>8</v>
      </c>
      <c r="C211" s="42" t="n">
        <v>46212</v>
      </c>
      <c r="D211" s="43" t="n">
        <v>0.479166666666667</v>
      </c>
      <c r="E211" s="41" t="s">
        <v>109</v>
      </c>
      <c r="F211" s="41" t="s">
        <v>88</v>
      </c>
      <c r="G211" s="41" t="n">
        <v>3</v>
      </c>
      <c r="H211" s="41"/>
      <c r="I211" s="44"/>
      <c r="J211" s="44" t="s">
        <v>107</v>
      </c>
    </row>
    <row r="212" customFormat="false" ht="15" hidden="false" customHeight="false" outlineLevel="0" collapsed="false">
      <c r="B212" s="41" t="s">
        <v>8</v>
      </c>
      <c r="C212" s="42" t="n">
        <v>46212</v>
      </c>
      <c r="D212" s="43" t="n">
        <v>0.520833333333333</v>
      </c>
      <c r="E212" s="41"/>
      <c r="F212" s="41" t="s">
        <v>88</v>
      </c>
      <c r="G212" s="41" t="n">
        <v>4</v>
      </c>
      <c r="H212" s="41" t="s">
        <v>22</v>
      </c>
      <c r="I212" s="44"/>
      <c r="J212" s="44" t="s">
        <v>107</v>
      </c>
    </row>
    <row r="213" customFormat="false" ht="15" hidden="false" customHeight="false" outlineLevel="0" collapsed="false">
      <c r="B213" s="41" t="s">
        <v>8</v>
      </c>
      <c r="C213" s="42" t="n">
        <v>46212</v>
      </c>
      <c r="D213" s="43" t="n">
        <v>0.604166666666667</v>
      </c>
      <c r="E213" s="41"/>
      <c r="F213" s="41" t="s">
        <v>88</v>
      </c>
      <c r="G213" s="41" t="n">
        <v>5</v>
      </c>
      <c r="H213" s="41" t="s">
        <v>23</v>
      </c>
      <c r="I213" s="44"/>
      <c r="J213" s="44" t="s">
        <v>107</v>
      </c>
    </row>
    <row r="214" customFormat="false" ht="15" hidden="false" customHeight="false" outlineLevel="0" collapsed="false">
      <c r="B214" s="41" t="s">
        <v>8</v>
      </c>
      <c r="C214" s="42" t="n">
        <v>46212</v>
      </c>
      <c r="D214" s="43" t="n">
        <v>0.625</v>
      </c>
      <c r="E214" s="41" t="s">
        <v>92</v>
      </c>
      <c r="F214" s="41" t="s">
        <v>88</v>
      </c>
      <c r="G214" s="41" t="n">
        <v>6</v>
      </c>
      <c r="H214" s="41"/>
      <c r="I214" s="44"/>
      <c r="J214" s="44" t="s">
        <v>107</v>
      </c>
    </row>
    <row r="215" customFormat="false" ht="15" hidden="false" customHeight="false" outlineLevel="0" collapsed="false">
      <c r="B215" s="41" t="s">
        <v>8</v>
      </c>
      <c r="C215" s="42" t="n">
        <v>46212</v>
      </c>
      <c r="D215" s="43" t="n">
        <v>0.6875</v>
      </c>
      <c r="E215" s="41" t="s">
        <v>92</v>
      </c>
      <c r="F215" s="41" t="s">
        <v>88</v>
      </c>
      <c r="G215" s="41" t="n">
        <v>7</v>
      </c>
      <c r="H215" s="41"/>
      <c r="I215" s="44"/>
      <c r="J215" s="44" t="s">
        <v>107</v>
      </c>
    </row>
    <row r="216" customFormat="false" ht="15" hidden="false" customHeight="false" outlineLevel="0" collapsed="false">
      <c r="B216" s="41" t="s">
        <v>8</v>
      </c>
      <c r="C216" s="42" t="n">
        <v>46212</v>
      </c>
      <c r="D216" s="43" t="n">
        <v>0.833333333333333</v>
      </c>
      <c r="E216" s="41"/>
      <c r="F216" s="41" t="s">
        <v>88</v>
      </c>
      <c r="G216" s="41" t="n">
        <v>8</v>
      </c>
      <c r="H216" s="41" t="s">
        <v>98</v>
      </c>
      <c r="I216" s="44"/>
      <c r="J216" s="44" t="s">
        <v>107</v>
      </c>
    </row>
    <row r="217" customFormat="false" ht="15" hidden="false" customHeight="false" outlineLevel="0" collapsed="false">
      <c r="B217" s="41" t="s">
        <v>18</v>
      </c>
      <c r="C217" s="42" t="n">
        <v>46212</v>
      </c>
      <c r="D217" s="43"/>
      <c r="E217" s="41"/>
      <c r="F217" s="41" t="s">
        <v>88</v>
      </c>
      <c r="G217" s="41" t="n">
        <v>1</v>
      </c>
      <c r="H217" s="41" t="s">
        <v>128</v>
      </c>
      <c r="I217" s="44" t="s">
        <v>129</v>
      </c>
      <c r="J217" s="44" t="s">
        <v>112</v>
      </c>
    </row>
    <row r="218" customFormat="false" ht="15" hidden="false" customHeight="false" outlineLevel="0" collapsed="false">
      <c r="B218" s="41" t="s">
        <v>10</v>
      </c>
      <c r="C218" s="42" t="n">
        <v>46212</v>
      </c>
      <c r="D218" s="43" t="n">
        <v>0.385416666666667</v>
      </c>
      <c r="E218" s="41" t="s">
        <v>102</v>
      </c>
      <c r="F218" s="41" t="s">
        <v>88</v>
      </c>
      <c r="G218" s="41" t="n">
        <v>1</v>
      </c>
      <c r="H218" s="41"/>
      <c r="I218" s="44"/>
      <c r="J218" s="44" t="s">
        <v>125</v>
      </c>
    </row>
    <row r="219" customFormat="false" ht="15" hidden="false" customHeight="false" outlineLevel="0" collapsed="false">
      <c r="B219" s="41" t="s">
        <v>10</v>
      </c>
      <c r="C219" s="42" t="n">
        <v>46212</v>
      </c>
      <c r="D219" s="43" t="n">
        <v>0.479166666666667</v>
      </c>
      <c r="E219" s="41" t="s">
        <v>109</v>
      </c>
      <c r="F219" s="41" t="s">
        <v>88</v>
      </c>
      <c r="G219" s="41" t="n">
        <v>2</v>
      </c>
      <c r="H219" s="41"/>
      <c r="I219" s="44"/>
      <c r="J219" s="44" t="s">
        <v>125</v>
      </c>
    </row>
    <row r="220" customFormat="false" ht="15" hidden="false" customHeight="false" outlineLevel="0" collapsed="false">
      <c r="B220" s="41" t="s">
        <v>10</v>
      </c>
      <c r="C220" s="42" t="n">
        <v>46212</v>
      </c>
      <c r="D220" s="43" t="n">
        <v>0.541666666666667</v>
      </c>
      <c r="E220" s="41"/>
      <c r="F220" s="41" t="s">
        <v>88</v>
      </c>
      <c r="G220" s="41" t="n">
        <v>3</v>
      </c>
      <c r="H220" s="41" t="s">
        <v>23</v>
      </c>
      <c r="I220" s="44"/>
      <c r="J220" s="44" t="s">
        <v>125</v>
      </c>
    </row>
    <row r="221" customFormat="false" ht="15" hidden="false" customHeight="false" outlineLevel="0" collapsed="false">
      <c r="B221" s="41" t="s">
        <v>10</v>
      </c>
      <c r="C221" s="42" t="n">
        <v>46212</v>
      </c>
      <c r="D221" s="43" t="n">
        <v>0.625</v>
      </c>
      <c r="E221" s="41" t="s">
        <v>92</v>
      </c>
      <c r="F221" s="41" t="s">
        <v>88</v>
      </c>
      <c r="G221" s="41" t="n">
        <v>4</v>
      </c>
      <c r="H221" s="41"/>
      <c r="I221" s="44"/>
      <c r="J221" s="44" t="s">
        <v>125</v>
      </c>
    </row>
    <row r="222" customFormat="false" ht="15" hidden="false" customHeight="false" outlineLevel="0" collapsed="false">
      <c r="B222" s="41" t="s">
        <v>10</v>
      </c>
      <c r="C222" s="42" t="n">
        <v>46212</v>
      </c>
      <c r="D222" s="43" t="n">
        <v>0.833333333333333</v>
      </c>
      <c r="E222" s="41"/>
      <c r="F222" s="41" t="s">
        <v>88</v>
      </c>
      <c r="G222" s="41" t="n">
        <v>5</v>
      </c>
      <c r="H222" s="41" t="s">
        <v>98</v>
      </c>
      <c r="I222" s="44"/>
      <c r="J222" s="44" t="s">
        <v>125</v>
      </c>
    </row>
    <row r="223" customFormat="false" ht="15" hidden="false" customHeight="false" outlineLevel="0" collapsed="false">
      <c r="B223" s="41" t="s">
        <v>12</v>
      </c>
      <c r="C223" s="42" t="n">
        <v>46212</v>
      </c>
      <c r="D223" s="43" t="n">
        <v>0.375</v>
      </c>
      <c r="E223" s="41"/>
      <c r="F223" s="41" t="s">
        <v>88</v>
      </c>
      <c r="G223" s="41" t="n">
        <v>1</v>
      </c>
      <c r="H223" s="41" t="s">
        <v>12</v>
      </c>
      <c r="I223" s="44" t="s">
        <v>114</v>
      </c>
      <c r="J223" s="44" t="s">
        <v>115</v>
      </c>
    </row>
    <row r="224" customFormat="false" ht="15" hidden="false" customHeight="false" outlineLevel="0" collapsed="false">
      <c r="B224" s="41" t="s">
        <v>12</v>
      </c>
      <c r="C224" s="42" t="n">
        <v>46212</v>
      </c>
      <c r="D224" s="43" t="n">
        <v>0.416666666666667</v>
      </c>
      <c r="E224" s="41"/>
      <c r="F224" s="41" t="s">
        <v>88</v>
      </c>
      <c r="G224" s="41" t="n">
        <v>2</v>
      </c>
      <c r="H224" s="41" t="s">
        <v>113</v>
      </c>
      <c r="I224" s="44"/>
      <c r="J224" s="44" t="s">
        <v>115</v>
      </c>
    </row>
    <row r="225" customFormat="false" ht="15" hidden="false" customHeight="false" outlineLevel="0" collapsed="false">
      <c r="B225" s="41" t="s">
        <v>12</v>
      </c>
      <c r="C225" s="42" t="n">
        <v>46212</v>
      </c>
      <c r="D225" s="43" t="n">
        <v>0.583333333333333</v>
      </c>
      <c r="E225" s="41"/>
      <c r="F225" s="41" t="s">
        <v>88</v>
      </c>
      <c r="G225" s="41" t="n">
        <v>3</v>
      </c>
      <c r="H225" s="41" t="s">
        <v>12</v>
      </c>
      <c r="I225" s="44"/>
      <c r="J225" s="44" t="s">
        <v>115</v>
      </c>
    </row>
    <row r="226" customFormat="false" ht="15" hidden="false" customHeight="false" outlineLevel="0" collapsed="false">
      <c r="B226" s="41" t="s">
        <v>17</v>
      </c>
      <c r="C226" s="42" t="n">
        <v>46213</v>
      </c>
      <c r="D226" s="43" t="n">
        <v>0.416666666666667</v>
      </c>
      <c r="E226" s="41"/>
      <c r="F226" s="41" t="s">
        <v>88</v>
      </c>
      <c r="G226" s="41" t="n">
        <v>1</v>
      </c>
      <c r="H226" s="41" t="s">
        <v>89</v>
      </c>
      <c r="I226" s="44" t="s">
        <v>122</v>
      </c>
      <c r="J226" s="44" t="s">
        <v>91</v>
      </c>
    </row>
    <row r="227" customFormat="false" ht="15" hidden="false" customHeight="false" outlineLevel="0" collapsed="false">
      <c r="B227" s="41" t="s">
        <v>17</v>
      </c>
      <c r="C227" s="42" t="n">
        <v>46213</v>
      </c>
      <c r="D227" s="43" t="n">
        <v>0.583333333333333</v>
      </c>
      <c r="E227" s="41" t="s">
        <v>92</v>
      </c>
      <c r="F227" s="41" t="s">
        <v>88</v>
      </c>
      <c r="G227" s="41" t="n">
        <v>2</v>
      </c>
      <c r="H227" s="41"/>
      <c r="I227" s="44" t="s">
        <v>122</v>
      </c>
      <c r="J227" s="44" t="s">
        <v>91</v>
      </c>
    </row>
    <row r="228" customFormat="false" ht="15" hidden="false" customHeight="false" outlineLevel="0" collapsed="false">
      <c r="B228" s="41" t="s">
        <v>11</v>
      </c>
      <c r="C228" s="42" t="n">
        <v>46213</v>
      </c>
      <c r="D228" s="43" t="n">
        <v>0.34375</v>
      </c>
      <c r="E228" s="41" t="s">
        <v>93</v>
      </c>
      <c r="F228" s="41" t="s">
        <v>88</v>
      </c>
      <c r="G228" s="41" t="n">
        <v>1</v>
      </c>
      <c r="H228" s="41" t="s">
        <v>94</v>
      </c>
      <c r="I228" s="44" t="s">
        <v>95</v>
      </c>
      <c r="J228" s="44" t="s">
        <v>96</v>
      </c>
    </row>
    <row r="229" customFormat="false" ht="15" hidden="false" customHeight="false" outlineLevel="0" collapsed="false">
      <c r="B229" s="41" t="s">
        <v>11</v>
      </c>
      <c r="C229" s="42" t="n">
        <v>46213</v>
      </c>
      <c r="D229" s="43" t="n">
        <v>0.479166666666667</v>
      </c>
      <c r="E229" s="41" t="s">
        <v>97</v>
      </c>
      <c r="F229" s="41" t="s">
        <v>88</v>
      </c>
      <c r="G229" s="41" t="n">
        <v>2</v>
      </c>
      <c r="H229" s="41" t="s">
        <v>94</v>
      </c>
      <c r="I229" s="44"/>
      <c r="J229" s="44" t="s">
        <v>96</v>
      </c>
    </row>
    <row r="230" customFormat="false" ht="15" hidden="false" customHeight="false" outlineLevel="0" collapsed="false">
      <c r="B230" s="41" t="s">
        <v>11</v>
      </c>
      <c r="C230" s="42" t="n">
        <v>46213</v>
      </c>
      <c r="D230" s="43" t="n">
        <v>0.5625</v>
      </c>
      <c r="E230" s="41"/>
      <c r="F230" s="41" t="s">
        <v>88</v>
      </c>
      <c r="G230" s="41" t="n">
        <v>3</v>
      </c>
      <c r="H230" s="41" t="s">
        <v>23</v>
      </c>
      <c r="I230" s="44"/>
      <c r="J230" s="44" t="s">
        <v>96</v>
      </c>
    </row>
    <row r="231" customFormat="false" ht="15" hidden="false" customHeight="false" outlineLevel="0" collapsed="false">
      <c r="B231" s="41" t="s">
        <v>11</v>
      </c>
      <c r="C231" s="42" t="n">
        <v>46213</v>
      </c>
      <c r="D231" s="43" t="n">
        <v>0.708333333333333</v>
      </c>
      <c r="E231" s="41"/>
      <c r="F231" s="41" t="s">
        <v>88</v>
      </c>
      <c r="G231" s="41" t="n">
        <v>4</v>
      </c>
      <c r="H231" s="41" t="s">
        <v>24</v>
      </c>
      <c r="I231" s="44"/>
      <c r="J231" s="44" t="s">
        <v>96</v>
      </c>
    </row>
    <row r="232" customFormat="false" ht="15" hidden="false" customHeight="false" outlineLevel="0" collapsed="false">
      <c r="B232" s="41" t="s">
        <v>11</v>
      </c>
      <c r="C232" s="42" t="n">
        <v>46213</v>
      </c>
      <c r="D232" s="43" t="n">
        <v>0.833333333333333</v>
      </c>
      <c r="E232" s="41"/>
      <c r="F232" s="41" t="s">
        <v>88</v>
      </c>
      <c r="G232" s="41" t="n">
        <v>5</v>
      </c>
      <c r="H232" s="41" t="s">
        <v>98</v>
      </c>
      <c r="I232" s="44"/>
      <c r="J232" s="44" t="s">
        <v>96</v>
      </c>
    </row>
    <row r="233" customFormat="false" ht="15" hidden="false" customHeight="false" outlineLevel="0" collapsed="false">
      <c r="B233" s="41" t="s">
        <v>9</v>
      </c>
      <c r="C233" s="42" t="n">
        <v>46213</v>
      </c>
      <c r="D233" s="43" t="n">
        <v>0.354166666666667</v>
      </c>
      <c r="E233" s="41" t="s">
        <v>93</v>
      </c>
      <c r="F233" s="41" t="s">
        <v>88</v>
      </c>
      <c r="G233" s="41" t="n">
        <v>1</v>
      </c>
      <c r="H233" s="41" t="s">
        <v>94</v>
      </c>
      <c r="I233" s="44"/>
      <c r="J233" s="44" t="s">
        <v>100</v>
      </c>
    </row>
    <row r="234" customFormat="false" ht="15" hidden="false" customHeight="false" outlineLevel="0" collapsed="false">
      <c r="B234" s="41" t="s">
        <v>9</v>
      </c>
      <c r="C234" s="42" t="n">
        <v>46213</v>
      </c>
      <c r="D234" s="43" t="n">
        <v>0.458333333333333</v>
      </c>
      <c r="E234" s="41" t="s">
        <v>97</v>
      </c>
      <c r="F234" s="41" t="s">
        <v>88</v>
      </c>
      <c r="G234" s="41" t="n">
        <v>2</v>
      </c>
      <c r="H234" s="41" t="s">
        <v>94</v>
      </c>
      <c r="I234" s="44"/>
      <c r="J234" s="44" t="s">
        <v>100</v>
      </c>
    </row>
    <row r="235" customFormat="false" ht="15" hidden="false" customHeight="false" outlineLevel="0" collapsed="false">
      <c r="B235" s="41" t="s">
        <v>9</v>
      </c>
      <c r="C235" s="42" t="n">
        <v>46213</v>
      </c>
      <c r="D235" s="43" t="n">
        <v>0.541666666666667</v>
      </c>
      <c r="E235" s="41"/>
      <c r="F235" s="41" t="s">
        <v>88</v>
      </c>
      <c r="G235" s="41" t="n">
        <v>3</v>
      </c>
      <c r="H235" s="41" t="s">
        <v>23</v>
      </c>
      <c r="I235" s="44"/>
      <c r="J235" s="44" t="s">
        <v>100</v>
      </c>
    </row>
    <row r="236" customFormat="false" ht="15" hidden="false" customHeight="false" outlineLevel="0" collapsed="false">
      <c r="B236" s="41" t="s">
        <v>9</v>
      </c>
      <c r="C236" s="42" t="n">
        <v>46213</v>
      </c>
      <c r="D236" s="43" t="n">
        <v>0.708333333333333</v>
      </c>
      <c r="E236" s="41"/>
      <c r="F236" s="41" t="s">
        <v>88</v>
      </c>
      <c r="G236" s="41" t="n">
        <v>4</v>
      </c>
      <c r="H236" s="41" t="s">
        <v>24</v>
      </c>
      <c r="I236" s="44"/>
      <c r="J236" s="44" t="s">
        <v>100</v>
      </c>
    </row>
    <row r="237" customFormat="false" ht="15" hidden="false" customHeight="false" outlineLevel="0" collapsed="false">
      <c r="B237" s="41" t="s">
        <v>9</v>
      </c>
      <c r="C237" s="42" t="n">
        <v>46213</v>
      </c>
      <c r="D237" s="43" t="n">
        <v>0.833333333333333</v>
      </c>
      <c r="E237" s="41"/>
      <c r="F237" s="41" t="s">
        <v>88</v>
      </c>
      <c r="G237" s="41" t="n">
        <v>5</v>
      </c>
      <c r="H237" s="41" t="s">
        <v>98</v>
      </c>
      <c r="I237" s="44"/>
      <c r="J237" s="44" t="s">
        <v>100</v>
      </c>
    </row>
    <row r="238" customFormat="false" ht="15" hidden="false" customHeight="false" outlineLevel="0" collapsed="false">
      <c r="B238" s="41" t="s">
        <v>14</v>
      </c>
      <c r="C238" s="42" t="n">
        <v>46213</v>
      </c>
      <c r="D238" s="43" t="n">
        <v>0.520833333333333</v>
      </c>
      <c r="E238" s="41" t="s">
        <v>102</v>
      </c>
      <c r="F238" s="41" t="s">
        <v>88</v>
      </c>
      <c r="G238" s="41" t="n">
        <v>1</v>
      </c>
      <c r="H238" s="41" t="s">
        <v>103</v>
      </c>
      <c r="I238" s="44"/>
      <c r="J238" s="44" t="s">
        <v>104</v>
      </c>
    </row>
    <row r="239" customFormat="false" ht="15" hidden="false" customHeight="false" outlineLevel="0" collapsed="false">
      <c r="B239" s="41" t="s">
        <v>15</v>
      </c>
      <c r="C239" s="42" t="n">
        <v>46213</v>
      </c>
      <c r="D239" s="43" t="n">
        <v>0.75</v>
      </c>
      <c r="E239" s="41"/>
      <c r="F239" s="41" t="s">
        <v>88</v>
      </c>
      <c r="G239" s="41" t="n">
        <v>1</v>
      </c>
      <c r="H239" s="41" t="s">
        <v>26</v>
      </c>
      <c r="I239" s="44"/>
      <c r="J239" s="44" t="s">
        <v>120</v>
      </c>
    </row>
    <row r="240" customFormat="false" ht="15" hidden="false" customHeight="false" outlineLevel="0" collapsed="false">
      <c r="B240" s="41" t="s">
        <v>16</v>
      </c>
      <c r="C240" s="42" t="n">
        <v>46213</v>
      </c>
      <c r="D240" s="43" t="n">
        <v>0.333333333333333</v>
      </c>
      <c r="E240" s="41"/>
      <c r="F240" s="41" t="s">
        <v>88</v>
      </c>
      <c r="G240" s="41" t="n">
        <v>1</v>
      </c>
      <c r="H240" s="41"/>
      <c r="I240" s="44"/>
      <c r="J240" s="44" t="s">
        <v>105</v>
      </c>
    </row>
    <row r="241" customFormat="false" ht="15" hidden="false" customHeight="false" outlineLevel="0" collapsed="false">
      <c r="B241" s="41" t="s">
        <v>16</v>
      </c>
      <c r="C241" s="42" t="n">
        <v>46213</v>
      </c>
      <c r="D241" s="43" t="n">
        <v>0.5</v>
      </c>
      <c r="E241" s="41"/>
      <c r="F241" s="41" t="s">
        <v>88</v>
      </c>
      <c r="G241" s="41" t="n">
        <v>2</v>
      </c>
      <c r="H241" s="41"/>
      <c r="I241" s="44"/>
      <c r="J241" s="44" t="s">
        <v>105</v>
      </c>
    </row>
    <row r="242" customFormat="false" ht="15" hidden="false" customHeight="false" outlineLevel="0" collapsed="false">
      <c r="B242" s="41" t="s">
        <v>16</v>
      </c>
      <c r="C242" s="42" t="n">
        <v>46213</v>
      </c>
      <c r="D242" s="43" t="n">
        <v>0.583333333333333</v>
      </c>
      <c r="E242" s="41"/>
      <c r="F242" s="41" t="s">
        <v>88</v>
      </c>
      <c r="G242" s="41" t="n">
        <v>3</v>
      </c>
      <c r="H242" s="41" t="s">
        <v>106</v>
      </c>
      <c r="I242" s="44"/>
      <c r="J242" s="44" t="s">
        <v>105</v>
      </c>
    </row>
    <row r="243" customFormat="false" ht="15" hidden="false" customHeight="false" outlineLevel="0" collapsed="false">
      <c r="B243" s="41" t="s">
        <v>16</v>
      </c>
      <c r="C243" s="42" t="n">
        <v>46213</v>
      </c>
      <c r="D243" s="43" t="n">
        <v>0.666666666666667</v>
      </c>
      <c r="E243" s="41"/>
      <c r="F243" s="41" t="s">
        <v>88</v>
      </c>
      <c r="G243" s="41" t="n">
        <v>4</v>
      </c>
      <c r="H243" s="41" t="s">
        <v>106</v>
      </c>
      <c r="I243" s="44"/>
      <c r="J243" s="44" t="s">
        <v>105</v>
      </c>
    </row>
    <row r="244" customFormat="false" ht="15" hidden="false" customHeight="false" outlineLevel="0" collapsed="false">
      <c r="B244" s="41" t="s">
        <v>16</v>
      </c>
      <c r="C244" s="42" t="n">
        <v>46213</v>
      </c>
      <c r="D244" s="43" t="n">
        <v>0.75</v>
      </c>
      <c r="E244" s="41"/>
      <c r="F244" s="41" t="s">
        <v>88</v>
      </c>
      <c r="G244" s="41" t="n">
        <v>5</v>
      </c>
      <c r="H244" s="41" t="s">
        <v>106</v>
      </c>
      <c r="I244" s="44"/>
      <c r="J244" s="44" t="s">
        <v>105</v>
      </c>
    </row>
    <row r="245" customFormat="false" ht="15" hidden="false" customHeight="false" outlineLevel="0" collapsed="false">
      <c r="B245" s="41" t="s">
        <v>8</v>
      </c>
      <c r="C245" s="42" t="n">
        <v>46213</v>
      </c>
      <c r="D245" s="43" t="n">
        <v>0.354166666666667</v>
      </c>
      <c r="E245" s="41" t="s">
        <v>93</v>
      </c>
      <c r="F245" s="41" t="s">
        <v>88</v>
      </c>
      <c r="G245" s="41" t="n">
        <v>1</v>
      </c>
      <c r="H245" s="41" t="s">
        <v>94</v>
      </c>
      <c r="I245" s="44"/>
      <c r="J245" s="44" t="s">
        <v>107</v>
      </c>
    </row>
    <row r="246" customFormat="false" ht="15" hidden="false" customHeight="false" outlineLevel="0" collapsed="false">
      <c r="B246" s="41" t="s">
        <v>8</v>
      </c>
      <c r="C246" s="42" t="n">
        <v>46213</v>
      </c>
      <c r="D246" s="43" t="n">
        <v>0.458333333333333</v>
      </c>
      <c r="E246" s="41" t="s">
        <v>97</v>
      </c>
      <c r="F246" s="41" t="s">
        <v>88</v>
      </c>
      <c r="G246" s="41" t="n">
        <v>2</v>
      </c>
      <c r="H246" s="41" t="s">
        <v>94</v>
      </c>
      <c r="I246" s="44"/>
      <c r="J246" s="44" t="s">
        <v>107</v>
      </c>
    </row>
    <row r="247" customFormat="false" ht="15" hidden="false" customHeight="false" outlineLevel="0" collapsed="false">
      <c r="B247" s="41" t="s">
        <v>8</v>
      </c>
      <c r="C247" s="42" t="n">
        <v>46213</v>
      </c>
      <c r="D247" s="43" t="n">
        <v>0.520833333333333</v>
      </c>
      <c r="E247" s="41"/>
      <c r="F247" s="41" t="s">
        <v>88</v>
      </c>
      <c r="G247" s="41" t="n">
        <v>3</v>
      </c>
      <c r="H247" s="41" t="s">
        <v>22</v>
      </c>
      <c r="I247" s="44"/>
      <c r="J247" s="44" t="s">
        <v>107</v>
      </c>
    </row>
    <row r="248" customFormat="false" ht="15" hidden="false" customHeight="false" outlineLevel="0" collapsed="false">
      <c r="B248" s="41" t="s">
        <v>8</v>
      </c>
      <c r="C248" s="42" t="n">
        <v>46213</v>
      </c>
      <c r="D248" s="43" t="n">
        <v>0.5625</v>
      </c>
      <c r="E248" s="41"/>
      <c r="F248" s="41" t="s">
        <v>88</v>
      </c>
      <c r="G248" s="41" t="n">
        <v>4</v>
      </c>
      <c r="H248" s="41" t="s">
        <v>23</v>
      </c>
      <c r="I248" s="44"/>
      <c r="J248" s="44" t="s">
        <v>107</v>
      </c>
    </row>
    <row r="249" customFormat="false" ht="15" hidden="false" customHeight="false" outlineLevel="0" collapsed="false">
      <c r="B249" s="41" t="s">
        <v>8</v>
      </c>
      <c r="C249" s="42" t="n">
        <v>46213</v>
      </c>
      <c r="D249" s="43" t="n">
        <v>0.708333333333333</v>
      </c>
      <c r="E249" s="41"/>
      <c r="F249" s="41" t="s">
        <v>88</v>
      </c>
      <c r="G249" s="41" t="n">
        <v>5</v>
      </c>
      <c r="H249" s="41" t="s">
        <v>24</v>
      </c>
      <c r="I249" s="44"/>
      <c r="J249" s="44" t="s">
        <v>107</v>
      </c>
    </row>
    <row r="250" customFormat="false" ht="15" hidden="false" customHeight="false" outlineLevel="0" collapsed="false">
      <c r="B250" s="41" t="s">
        <v>8</v>
      </c>
      <c r="C250" s="42" t="n">
        <v>46213</v>
      </c>
      <c r="D250" s="43" t="n">
        <v>0.833333333333333</v>
      </c>
      <c r="E250" s="41"/>
      <c r="F250" s="41" t="s">
        <v>88</v>
      </c>
      <c r="G250" s="41" t="n">
        <v>6</v>
      </c>
      <c r="H250" s="41" t="s">
        <v>98</v>
      </c>
      <c r="I250" s="44"/>
      <c r="J250" s="44" t="s">
        <v>107</v>
      </c>
    </row>
    <row r="251" customFormat="false" ht="15" hidden="false" customHeight="false" outlineLevel="0" collapsed="false">
      <c r="B251" s="41" t="s">
        <v>18</v>
      </c>
      <c r="C251" s="42" t="n">
        <v>46213</v>
      </c>
      <c r="D251" s="43"/>
      <c r="E251" s="41"/>
      <c r="F251" s="41" t="s">
        <v>88</v>
      </c>
      <c r="G251" s="41" t="n">
        <v>1</v>
      </c>
      <c r="H251" s="41" t="s">
        <v>128</v>
      </c>
      <c r="I251" s="44" t="s">
        <v>129</v>
      </c>
      <c r="J251" s="44" t="s">
        <v>112</v>
      </c>
    </row>
    <row r="252" customFormat="false" ht="15" hidden="false" customHeight="false" outlineLevel="0" collapsed="false">
      <c r="B252" s="41" t="s">
        <v>10</v>
      </c>
      <c r="C252" s="42" t="n">
        <v>46213</v>
      </c>
      <c r="D252" s="43" t="n">
        <v>0.34375</v>
      </c>
      <c r="E252" s="41" t="s">
        <v>93</v>
      </c>
      <c r="F252" s="41" t="s">
        <v>88</v>
      </c>
      <c r="G252" s="41" t="n">
        <v>1</v>
      </c>
      <c r="H252" s="41" t="s">
        <v>94</v>
      </c>
      <c r="I252" s="44"/>
      <c r="J252" s="44" t="s">
        <v>125</v>
      </c>
    </row>
    <row r="253" customFormat="false" ht="15" hidden="false" customHeight="false" outlineLevel="0" collapsed="false">
      <c r="B253" s="41" t="s">
        <v>10</v>
      </c>
      <c r="C253" s="42" t="n">
        <v>46213</v>
      </c>
      <c r="D253" s="43" t="n">
        <v>0.46875</v>
      </c>
      <c r="E253" s="41" t="s">
        <v>97</v>
      </c>
      <c r="F253" s="41" t="s">
        <v>88</v>
      </c>
      <c r="G253" s="41" t="n">
        <v>2</v>
      </c>
      <c r="H253" s="41" t="s">
        <v>94</v>
      </c>
      <c r="I253" s="44"/>
      <c r="J253" s="44" t="s">
        <v>125</v>
      </c>
    </row>
    <row r="254" customFormat="false" ht="15" hidden="false" customHeight="false" outlineLevel="0" collapsed="false">
      <c r="B254" s="41" t="s">
        <v>10</v>
      </c>
      <c r="C254" s="42" t="n">
        <v>46213</v>
      </c>
      <c r="D254" s="43" t="n">
        <v>0.541666666666667</v>
      </c>
      <c r="E254" s="41"/>
      <c r="F254" s="41" t="s">
        <v>88</v>
      </c>
      <c r="G254" s="41" t="n">
        <v>3</v>
      </c>
      <c r="H254" s="41" t="s">
        <v>23</v>
      </c>
      <c r="I254" s="44"/>
      <c r="J254" s="44" t="s">
        <v>125</v>
      </c>
    </row>
    <row r="255" customFormat="false" ht="15" hidden="false" customHeight="false" outlineLevel="0" collapsed="false">
      <c r="B255" s="41" t="s">
        <v>10</v>
      </c>
      <c r="C255" s="42" t="n">
        <v>46213</v>
      </c>
      <c r="D255" s="43" t="n">
        <v>0.708333333333333</v>
      </c>
      <c r="E255" s="41"/>
      <c r="F255" s="41" t="s">
        <v>88</v>
      </c>
      <c r="G255" s="41" t="n">
        <v>4</v>
      </c>
      <c r="H255" s="41" t="s">
        <v>24</v>
      </c>
      <c r="I255" s="44"/>
      <c r="J255" s="44" t="s">
        <v>125</v>
      </c>
    </row>
    <row r="256" customFormat="false" ht="15" hidden="false" customHeight="false" outlineLevel="0" collapsed="false">
      <c r="B256" s="41" t="s">
        <v>10</v>
      </c>
      <c r="C256" s="42" t="n">
        <v>46213</v>
      </c>
      <c r="D256" s="43" t="n">
        <v>0.833333333333333</v>
      </c>
      <c r="E256" s="41"/>
      <c r="F256" s="41" t="s">
        <v>88</v>
      </c>
      <c r="G256" s="41" t="n">
        <v>5</v>
      </c>
      <c r="H256" s="41" t="s">
        <v>98</v>
      </c>
      <c r="I256" s="44"/>
      <c r="J256" s="44" t="s">
        <v>125</v>
      </c>
    </row>
    <row r="257" customFormat="false" ht="15" hidden="false" customHeight="false" outlineLevel="0" collapsed="false">
      <c r="B257" s="41" t="s">
        <v>12</v>
      </c>
      <c r="C257" s="42" t="n">
        <v>46213</v>
      </c>
      <c r="D257" s="43" t="n">
        <v>0.34375</v>
      </c>
      <c r="E257" s="41"/>
      <c r="F257" s="41" t="s">
        <v>88</v>
      </c>
      <c r="G257" s="41" t="n">
        <v>1</v>
      </c>
      <c r="H257" s="41" t="s">
        <v>12</v>
      </c>
      <c r="I257" s="44" t="s">
        <v>114</v>
      </c>
      <c r="J257" s="44" t="s">
        <v>115</v>
      </c>
    </row>
    <row r="258" customFormat="false" ht="15" hidden="false" customHeight="false" outlineLevel="0" collapsed="false">
      <c r="B258" s="41" t="s">
        <v>12</v>
      </c>
      <c r="C258" s="42" t="n">
        <v>46213</v>
      </c>
      <c r="D258" s="43" t="n">
        <v>0.416666666666667</v>
      </c>
      <c r="E258" s="41"/>
      <c r="F258" s="41" t="s">
        <v>88</v>
      </c>
      <c r="G258" s="41" t="n">
        <v>2</v>
      </c>
      <c r="H258" s="41" t="s">
        <v>12</v>
      </c>
      <c r="I258" s="44"/>
      <c r="J258" s="44" t="s">
        <v>115</v>
      </c>
    </row>
    <row r="259" customFormat="false" ht="15" hidden="false" customHeight="false" outlineLevel="0" collapsed="false">
      <c r="B259" s="41" t="s">
        <v>12</v>
      </c>
      <c r="C259" s="42" t="n">
        <v>46213</v>
      </c>
      <c r="D259" s="43" t="n">
        <v>0.5</v>
      </c>
      <c r="E259" s="41"/>
      <c r="F259" s="41" t="s">
        <v>88</v>
      </c>
      <c r="G259" s="41" t="n">
        <v>3</v>
      </c>
      <c r="H259" s="41" t="s">
        <v>113</v>
      </c>
      <c r="I259" s="44"/>
      <c r="J259" s="44" t="s">
        <v>115</v>
      </c>
    </row>
    <row r="260" customFormat="false" ht="15" hidden="false" customHeight="false" outlineLevel="0" collapsed="false">
      <c r="B260" s="41" t="s">
        <v>12</v>
      </c>
      <c r="C260" s="42" t="n">
        <v>46213</v>
      </c>
      <c r="D260" s="43" t="n">
        <v>0.541666666666667</v>
      </c>
      <c r="E260" s="41"/>
      <c r="F260" s="41" t="s">
        <v>88</v>
      </c>
      <c r="G260" s="41" t="n">
        <v>4</v>
      </c>
      <c r="H260" s="41" t="s">
        <v>12</v>
      </c>
      <c r="I260" s="44"/>
      <c r="J260" s="44" t="s">
        <v>115</v>
      </c>
    </row>
    <row r="261" customFormat="false" ht="15" hidden="false" customHeight="false" outlineLevel="0" collapsed="false">
      <c r="B261" s="41" t="s">
        <v>17</v>
      </c>
      <c r="C261" s="42" t="n">
        <v>46214</v>
      </c>
      <c r="D261" s="43" t="n">
        <v>0.458333333333333</v>
      </c>
      <c r="E261" s="41"/>
      <c r="F261" s="41" t="s">
        <v>88</v>
      </c>
      <c r="G261" s="41" t="n">
        <v>1</v>
      </c>
      <c r="H261" s="41" t="s">
        <v>89</v>
      </c>
      <c r="I261" s="44" t="s">
        <v>116</v>
      </c>
      <c r="J261" s="44" t="s">
        <v>91</v>
      </c>
    </row>
    <row r="262" customFormat="false" ht="15" hidden="false" customHeight="false" outlineLevel="0" collapsed="false">
      <c r="B262" s="41" t="s">
        <v>11</v>
      </c>
      <c r="C262" s="42" t="n">
        <v>46214</v>
      </c>
      <c r="D262" s="43" t="n">
        <v>0.416666666666667</v>
      </c>
      <c r="E262" s="41"/>
      <c r="F262" s="41" t="s">
        <v>88</v>
      </c>
      <c r="G262" s="41" t="n">
        <v>1</v>
      </c>
      <c r="H262" s="41" t="s">
        <v>24</v>
      </c>
      <c r="I262" s="44"/>
      <c r="J262" s="44" t="s">
        <v>96</v>
      </c>
    </row>
    <row r="263" customFormat="false" ht="15" hidden="false" customHeight="false" outlineLevel="0" collapsed="false">
      <c r="B263" s="41" t="s">
        <v>9</v>
      </c>
      <c r="C263" s="42" t="n">
        <v>46214</v>
      </c>
      <c r="D263" s="43" t="n">
        <v>0.416666666666667</v>
      </c>
      <c r="E263" s="41"/>
      <c r="F263" s="41" t="s">
        <v>88</v>
      </c>
      <c r="G263" s="41" t="n">
        <v>1</v>
      </c>
      <c r="H263" s="41" t="s">
        <v>24</v>
      </c>
      <c r="I263" s="44"/>
      <c r="J263" s="44" t="s">
        <v>100</v>
      </c>
    </row>
    <row r="264" customFormat="false" ht="15" hidden="false" customHeight="false" outlineLevel="0" collapsed="false">
      <c r="B264" s="41" t="s">
        <v>15</v>
      </c>
      <c r="C264" s="42" t="n">
        <v>46214</v>
      </c>
      <c r="D264" s="43" t="n">
        <v>0.416666666666667</v>
      </c>
      <c r="E264" s="41"/>
      <c r="F264" s="41" t="s">
        <v>88</v>
      </c>
      <c r="G264" s="41" t="n">
        <v>1</v>
      </c>
      <c r="H264" s="41" t="s">
        <v>26</v>
      </c>
      <c r="I264" s="44"/>
      <c r="J264" s="44" t="s">
        <v>120</v>
      </c>
    </row>
    <row r="265" customFormat="false" ht="15" hidden="false" customHeight="false" outlineLevel="0" collapsed="false">
      <c r="B265" s="41" t="s">
        <v>16</v>
      </c>
      <c r="C265" s="42" t="n">
        <v>46214</v>
      </c>
      <c r="D265" s="43" t="n">
        <v>0.0416666666666667</v>
      </c>
      <c r="E265" s="41"/>
      <c r="F265" s="41" t="s">
        <v>88</v>
      </c>
      <c r="G265" s="41" t="n">
        <v>1</v>
      </c>
      <c r="H265" s="41"/>
      <c r="I265" s="44" t="s">
        <v>121</v>
      </c>
      <c r="J265" s="44" t="s">
        <v>105</v>
      </c>
    </row>
    <row r="266" customFormat="false" ht="15" hidden="false" customHeight="false" outlineLevel="0" collapsed="false">
      <c r="B266" s="41" t="s">
        <v>16</v>
      </c>
      <c r="C266" s="42" t="n">
        <v>46214</v>
      </c>
      <c r="D266" s="43" t="n">
        <v>0.270833333333333</v>
      </c>
      <c r="E266" s="41"/>
      <c r="F266" s="41" t="s">
        <v>88</v>
      </c>
      <c r="G266" s="41" t="n">
        <v>2</v>
      </c>
      <c r="H266" s="41"/>
      <c r="I266" s="44"/>
      <c r="J266" s="44" t="s">
        <v>105</v>
      </c>
    </row>
    <row r="267" customFormat="false" ht="15" hidden="false" customHeight="false" outlineLevel="0" collapsed="false">
      <c r="B267" s="41" t="s">
        <v>8</v>
      </c>
      <c r="C267" s="42" t="n">
        <v>46214</v>
      </c>
      <c r="D267" s="43" t="n">
        <v>0.416666666666667</v>
      </c>
      <c r="E267" s="41"/>
      <c r="F267" s="41" t="s">
        <v>88</v>
      </c>
      <c r="G267" s="41" t="n">
        <v>1</v>
      </c>
      <c r="H267" s="41" t="s">
        <v>24</v>
      </c>
      <c r="I267" s="44"/>
      <c r="J267" s="44" t="s">
        <v>107</v>
      </c>
    </row>
    <row r="268" customFormat="false" ht="15" hidden="false" customHeight="false" outlineLevel="0" collapsed="false">
      <c r="B268" s="41" t="s">
        <v>18</v>
      </c>
      <c r="C268" s="42" t="n">
        <v>46214</v>
      </c>
      <c r="D268" s="43"/>
      <c r="E268" s="41"/>
      <c r="F268" s="41" t="s">
        <v>88</v>
      </c>
      <c r="G268" s="41" t="n">
        <v>1</v>
      </c>
      <c r="H268" s="41" t="s">
        <v>117</v>
      </c>
      <c r="I268" s="44" t="s">
        <v>118</v>
      </c>
      <c r="J268" s="44" t="s">
        <v>112</v>
      </c>
    </row>
    <row r="269" customFormat="false" ht="15" hidden="false" customHeight="false" outlineLevel="0" collapsed="false">
      <c r="B269" s="41" t="s">
        <v>10</v>
      </c>
      <c r="C269" s="42" t="n">
        <v>46214</v>
      </c>
      <c r="D269" s="43" t="n">
        <v>0.416666666666667</v>
      </c>
      <c r="E269" s="41"/>
      <c r="F269" s="41" t="s">
        <v>88</v>
      </c>
      <c r="G269" s="41" t="n">
        <v>1</v>
      </c>
      <c r="H269" s="41" t="s">
        <v>24</v>
      </c>
      <c r="I269" s="44"/>
      <c r="J269" s="44" t="s">
        <v>125</v>
      </c>
    </row>
    <row r="270" customFormat="false" ht="15" hidden="false" customHeight="false" outlineLevel="0" collapsed="false">
      <c r="B270" s="41" t="s">
        <v>11</v>
      </c>
      <c r="C270" s="42" t="n">
        <v>46215</v>
      </c>
      <c r="D270" s="43" t="n">
        <v>0.666666666666667</v>
      </c>
      <c r="E270" s="41"/>
      <c r="F270" s="41" t="s">
        <v>88</v>
      </c>
      <c r="G270" s="41" t="n">
        <v>1</v>
      </c>
      <c r="H270" s="41" t="s">
        <v>24</v>
      </c>
      <c r="I270" s="44"/>
      <c r="J270" s="44" t="s">
        <v>96</v>
      </c>
    </row>
    <row r="271" customFormat="false" ht="15" hidden="false" customHeight="false" outlineLevel="0" collapsed="false">
      <c r="B271" s="41" t="s">
        <v>16</v>
      </c>
      <c r="C271" s="42" t="n">
        <v>46215</v>
      </c>
      <c r="D271" s="43" t="n">
        <v>0.5</v>
      </c>
      <c r="E271" s="41"/>
      <c r="F271" s="41" t="s">
        <v>88</v>
      </c>
      <c r="G271" s="41" t="n">
        <v>1</v>
      </c>
      <c r="H271" s="41"/>
      <c r="I271" s="44"/>
      <c r="J271" s="44" t="s">
        <v>105</v>
      </c>
    </row>
    <row r="272" customFormat="false" ht="15" hidden="false" customHeight="false" outlineLevel="0" collapsed="false">
      <c r="B272" s="41" t="s">
        <v>16</v>
      </c>
      <c r="C272" s="42" t="n">
        <v>46215</v>
      </c>
      <c r="D272" s="43" t="n">
        <v>0.25</v>
      </c>
      <c r="E272" s="41"/>
      <c r="F272" s="41" t="s">
        <v>88</v>
      </c>
      <c r="G272" s="41" t="n">
        <v>2</v>
      </c>
      <c r="H272" s="41"/>
      <c r="I272" s="44"/>
      <c r="J272" s="44" t="s">
        <v>105</v>
      </c>
    </row>
    <row r="273" customFormat="false" ht="15" hidden="false" customHeight="false" outlineLevel="0" collapsed="false">
      <c r="B273" s="41" t="s">
        <v>8</v>
      </c>
      <c r="C273" s="42" t="n">
        <v>46215</v>
      </c>
      <c r="D273" s="43" t="n">
        <v>0.666666666666667</v>
      </c>
      <c r="E273" s="41"/>
      <c r="F273" s="41" t="s">
        <v>88</v>
      </c>
      <c r="G273" s="41" t="n">
        <v>1</v>
      </c>
      <c r="H273" s="41" t="s">
        <v>24</v>
      </c>
      <c r="I273" s="44"/>
      <c r="J273" s="44" t="s">
        <v>107</v>
      </c>
    </row>
    <row r="274" customFormat="false" ht="15" hidden="false" customHeight="false" outlineLevel="0" collapsed="false">
      <c r="B274" s="41" t="s">
        <v>17</v>
      </c>
      <c r="C274" s="42" t="n">
        <v>46216</v>
      </c>
      <c r="D274" s="43" t="n">
        <v>0.479166666666667</v>
      </c>
      <c r="E274" s="41"/>
      <c r="F274" s="41" t="s">
        <v>88</v>
      </c>
      <c r="G274" s="41" t="n">
        <v>1</v>
      </c>
      <c r="H274" s="41" t="s">
        <v>89</v>
      </c>
      <c r="I274" s="44" t="s">
        <v>126</v>
      </c>
      <c r="J274" s="44" t="s">
        <v>91</v>
      </c>
    </row>
    <row r="275" customFormat="false" ht="15" hidden="false" customHeight="false" outlineLevel="0" collapsed="false">
      <c r="B275" s="41" t="s">
        <v>17</v>
      </c>
      <c r="C275" s="42" t="n">
        <v>46216</v>
      </c>
      <c r="D275" s="43" t="n">
        <v>0.6875</v>
      </c>
      <c r="E275" s="41" t="s">
        <v>92</v>
      </c>
      <c r="F275" s="41" t="s">
        <v>88</v>
      </c>
      <c r="G275" s="41" t="n">
        <v>2</v>
      </c>
      <c r="H275" s="41"/>
      <c r="I275" s="44" t="s">
        <v>126</v>
      </c>
      <c r="J275" s="44" t="s">
        <v>91</v>
      </c>
    </row>
    <row r="276" customFormat="false" ht="15" hidden="false" customHeight="false" outlineLevel="0" collapsed="false">
      <c r="B276" s="41" t="s">
        <v>11</v>
      </c>
      <c r="C276" s="42" t="n">
        <v>46216</v>
      </c>
      <c r="D276" s="43" t="n">
        <v>0.34375</v>
      </c>
      <c r="E276" s="41" t="s">
        <v>93</v>
      </c>
      <c r="F276" s="41" t="s">
        <v>88</v>
      </c>
      <c r="G276" s="41" t="n">
        <v>1</v>
      </c>
      <c r="H276" s="41" t="s">
        <v>94</v>
      </c>
      <c r="I276" s="44" t="s">
        <v>95</v>
      </c>
      <c r="J276" s="44" t="s">
        <v>96</v>
      </c>
    </row>
    <row r="277" customFormat="false" ht="15" hidden="false" customHeight="false" outlineLevel="0" collapsed="false">
      <c r="B277" s="41" t="s">
        <v>11</v>
      </c>
      <c r="C277" s="42" t="n">
        <v>46216</v>
      </c>
      <c r="D277" s="43" t="n">
        <v>0.5</v>
      </c>
      <c r="E277" s="41" t="s">
        <v>97</v>
      </c>
      <c r="F277" s="41" t="s">
        <v>88</v>
      </c>
      <c r="G277" s="41" t="n">
        <v>2</v>
      </c>
      <c r="H277" s="41" t="s">
        <v>94</v>
      </c>
      <c r="I277" s="44"/>
      <c r="J277" s="44" t="s">
        <v>96</v>
      </c>
    </row>
    <row r="278" customFormat="false" ht="15" hidden="false" customHeight="false" outlineLevel="0" collapsed="false">
      <c r="B278" s="41" t="s">
        <v>11</v>
      </c>
      <c r="C278" s="42" t="n">
        <v>46216</v>
      </c>
      <c r="D278" s="43" t="n">
        <v>0.5625</v>
      </c>
      <c r="E278" s="41"/>
      <c r="F278" s="41" t="s">
        <v>88</v>
      </c>
      <c r="G278" s="41" t="n">
        <v>3</v>
      </c>
      <c r="H278" s="41" t="s">
        <v>23</v>
      </c>
      <c r="I278" s="44"/>
      <c r="J278" s="44" t="s">
        <v>96</v>
      </c>
    </row>
    <row r="279" customFormat="false" ht="15" hidden="false" customHeight="false" outlineLevel="0" collapsed="false">
      <c r="B279" s="41" t="s">
        <v>11</v>
      </c>
      <c r="C279" s="42" t="n">
        <v>46216</v>
      </c>
      <c r="D279" s="43" t="n">
        <v>0.708333333333333</v>
      </c>
      <c r="E279" s="41"/>
      <c r="F279" s="41" t="s">
        <v>88</v>
      </c>
      <c r="G279" s="41" t="n">
        <v>4</v>
      </c>
      <c r="H279" s="41" t="s">
        <v>24</v>
      </c>
      <c r="I279" s="44"/>
      <c r="J279" s="44" t="s">
        <v>96</v>
      </c>
    </row>
    <row r="280" customFormat="false" ht="15" hidden="false" customHeight="false" outlineLevel="0" collapsed="false">
      <c r="B280" s="41" t="s">
        <v>11</v>
      </c>
      <c r="C280" s="42" t="n">
        <v>46216</v>
      </c>
      <c r="D280" s="43" t="n">
        <v>0.833333333333333</v>
      </c>
      <c r="E280" s="41"/>
      <c r="F280" s="41" t="s">
        <v>88</v>
      </c>
      <c r="G280" s="41" t="n">
        <v>5</v>
      </c>
      <c r="H280" s="41" t="s">
        <v>98</v>
      </c>
      <c r="I280" s="44"/>
      <c r="J280" s="44" t="s">
        <v>96</v>
      </c>
    </row>
    <row r="281" customFormat="false" ht="15" hidden="false" customHeight="false" outlineLevel="0" collapsed="false">
      <c r="B281" s="41" t="s">
        <v>9</v>
      </c>
      <c r="C281" s="42" t="n">
        <v>46216</v>
      </c>
      <c r="D281" s="43" t="n">
        <v>0.416666666666667</v>
      </c>
      <c r="E281" s="41" t="s">
        <v>99</v>
      </c>
      <c r="F281" s="41" t="s">
        <v>88</v>
      </c>
      <c r="G281" s="41" t="n">
        <v>1</v>
      </c>
      <c r="H281" s="41" t="s">
        <v>94</v>
      </c>
      <c r="I281" s="44"/>
      <c r="J281" s="44" t="s">
        <v>100</v>
      </c>
    </row>
    <row r="282" customFormat="false" ht="15" hidden="false" customHeight="false" outlineLevel="0" collapsed="false">
      <c r="B282" s="41" t="s">
        <v>9</v>
      </c>
      <c r="C282" s="42" t="n">
        <v>46216</v>
      </c>
      <c r="D282" s="43" t="n">
        <v>0.479166666666667</v>
      </c>
      <c r="E282" s="41" t="s">
        <v>101</v>
      </c>
      <c r="F282" s="41" t="s">
        <v>88</v>
      </c>
      <c r="G282" s="41" t="n">
        <v>2</v>
      </c>
      <c r="H282" s="41" t="s">
        <v>94</v>
      </c>
      <c r="I282" s="44"/>
      <c r="J282" s="44" t="s">
        <v>100</v>
      </c>
    </row>
    <row r="283" customFormat="false" ht="15" hidden="false" customHeight="false" outlineLevel="0" collapsed="false">
      <c r="B283" s="41" t="s">
        <v>9</v>
      </c>
      <c r="C283" s="42" t="n">
        <v>46216</v>
      </c>
      <c r="D283" s="43" t="n">
        <v>0.541666666666667</v>
      </c>
      <c r="E283" s="41"/>
      <c r="F283" s="41" t="s">
        <v>88</v>
      </c>
      <c r="G283" s="41" t="n">
        <v>3</v>
      </c>
      <c r="H283" s="41" t="s">
        <v>23</v>
      </c>
      <c r="I283" s="44"/>
      <c r="J283" s="44" t="s">
        <v>100</v>
      </c>
    </row>
    <row r="284" customFormat="false" ht="15" hidden="false" customHeight="false" outlineLevel="0" collapsed="false">
      <c r="B284" s="41" t="s">
        <v>9</v>
      </c>
      <c r="C284" s="42" t="n">
        <v>46216</v>
      </c>
      <c r="D284" s="43" t="n">
        <v>0.708333333333333</v>
      </c>
      <c r="E284" s="41"/>
      <c r="F284" s="41" t="s">
        <v>88</v>
      </c>
      <c r="G284" s="41" t="n">
        <v>4</v>
      </c>
      <c r="H284" s="41" t="s">
        <v>24</v>
      </c>
      <c r="I284" s="44"/>
      <c r="J284" s="44" t="s">
        <v>100</v>
      </c>
    </row>
    <row r="285" customFormat="false" ht="15" hidden="false" customHeight="false" outlineLevel="0" collapsed="false">
      <c r="B285" s="41" t="s">
        <v>9</v>
      </c>
      <c r="C285" s="42" t="n">
        <v>46216</v>
      </c>
      <c r="D285" s="43" t="n">
        <v>0.833333333333333</v>
      </c>
      <c r="E285" s="41"/>
      <c r="F285" s="41" t="s">
        <v>88</v>
      </c>
      <c r="G285" s="41" t="n">
        <v>5</v>
      </c>
      <c r="H285" s="41" t="s">
        <v>98</v>
      </c>
      <c r="I285" s="44"/>
      <c r="J285" s="44" t="s">
        <v>100</v>
      </c>
    </row>
    <row r="286" customFormat="false" ht="15" hidden="false" customHeight="false" outlineLevel="0" collapsed="false">
      <c r="B286" s="41" t="s">
        <v>14</v>
      </c>
      <c r="C286" s="42" t="n">
        <v>46216</v>
      </c>
      <c r="D286" s="43" t="n">
        <v>0.375</v>
      </c>
      <c r="E286" s="41"/>
      <c r="F286" s="41" t="s">
        <v>88</v>
      </c>
      <c r="G286" s="41" t="n">
        <v>1</v>
      </c>
      <c r="H286" s="41" t="s">
        <v>123</v>
      </c>
      <c r="I286" s="44"/>
      <c r="J286" s="44" t="s">
        <v>104</v>
      </c>
    </row>
    <row r="287" customFormat="false" ht="15" hidden="false" customHeight="false" outlineLevel="0" collapsed="false">
      <c r="B287" s="41" t="s">
        <v>14</v>
      </c>
      <c r="C287" s="42" t="n">
        <v>46216</v>
      </c>
      <c r="D287" s="43" t="n">
        <v>0.458333333333333</v>
      </c>
      <c r="E287" s="41"/>
      <c r="F287" s="41" t="s">
        <v>88</v>
      </c>
      <c r="G287" s="41" t="n">
        <v>2</v>
      </c>
      <c r="H287" s="41" t="s">
        <v>124</v>
      </c>
      <c r="I287" s="44"/>
      <c r="J287" s="44" t="s">
        <v>104</v>
      </c>
    </row>
    <row r="288" customFormat="false" ht="15" hidden="false" customHeight="false" outlineLevel="0" collapsed="false">
      <c r="B288" s="41" t="s">
        <v>14</v>
      </c>
      <c r="C288" s="42" t="n">
        <v>46216</v>
      </c>
      <c r="D288" s="43" t="n">
        <v>0.520833333333333</v>
      </c>
      <c r="E288" s="41" t="s">
        <v>102</v>
      </c>
      <c r="F288" s="41" t="s">
        <v>88</v>
      </c>
      <c r="G288" s="41" t="n">
        <v>3</v>
      </c>
      <c r="H288" s="41" t="s">
        <v>103</v>
      </c>
      <c r="I288" s="44"/>
      <c r="J288" s="44" t="s">
        <v>104</v>
      </c>
    </row>
    <row r="289" customFormat="false" ht="15" hidden="false" customHeight="false" outlineLevel="0" collapsed="false">
      <c r="B289" s="41" t="s">
        <v>15</v>
      </c>
      <c r="C289" s="42" t="n">
        <v>46216</v>
      </c>
      <c r="D289" s="43" t="n">
        <v>0.75</v>
      </c>
      <c r="E289" s="41"/>
      <c r="F289" s="41" t="s">
        <v>88</v>
      </c>
      <c r="G289" s="41" t="n">
        <v>1</v>
      </c>
      <c r="H289" s="41" t="s">
        <v>26</v>
      </c>
      <c r="I289" s="44"/>
      <c r="J289" s="44" t="s">
        <v>120</v>
      </c>
    </row>
    <row r="290" customFormat="false" ht="15" hidden="false" customHeight="false" outlineLevel="0" collapsed="false">
      <c r="B290" s="41" t="s">
        <v>16</v>
      </c>
      <c r="C290" s="42" t="n">
        <v>46216</v>
      </c>
      <c r="D290" s="43" t="n">
        <v>0.333333333333333</v>
      </c>
      <c r="E290" s="41"/>
      <c r="F290" s="41" t="s">
        <v>88</v>
      </c>
      <c r="G290" s="41" t="n">
        <v>1</v>
      </c>
      <c r="H290" s="41"/>
      <c r="I290" s="44"/>
      <c r="J290" s="44" t="s">
        <v>105</v>
      </c>
    </row>
    <row r="291" customFormat="false" ht="15" hidden="false" customHeight="false" outlineLevel="0" collapsed="false">
      <c r="B291" s="41" t="s">
        <v>16</v>
      </c>
      <c r="C291" s="42" t="n">
        <v>46216</v>
      </c>
      <c r="D291" s="43" t="n">
        <v>0.5</v>
      </c>
      <c r="E291" s="41"/>
      <c r="F291" s="41" t="s">
        <v>88</v>
      </c>
      <c r="G291" s="41" t="n">
        <v>2</v>
      </c>
      <c r="H291" s="41"/>
      <c r="I291" s="44"/>
      <c r="J291" s="44" t="s">
        <v>105</v>
      </c>
    </row>
    <row r="292" customFormat="false" ht="15" hidden="false" customHeight="false" outlineLevel="0" collapsed="false">
      <c r="B292" s="41" t="s">
        <v>16</v>
      </c>
      <c r="C292" s="42" t="n">
        <v>46216</v>
      </c>
      <c r="D292" s="43" t="n">
        <v>0.583333333333333</v>
      </c>
      <c r="E292" s="41"/>
      <c r="F292" s="41" t="s">
        <v>88</v>
      </c>
      <c r="G292" s="41" t="n">
        <v>3</v>
      </c>
      <c r="H292" s="41" t="s">
        <v>106</v>
      </c>
      <c r="I292" s="44"/>
      <c r="J292" s="44" t="s">
        <v>105</v>
      </c>
    </row>
    <row r="293" customFormat="false" ht="15" hidden="false" customHeight="false" outlineLevel="0" collapsed="false">
      <c r="B293" s="41" t="s">
        <v>16</v>
      </c>
      <c r="C293" s="42" t="n">
        <v>46216</v>
      </c>
      <c r="D293" s="43" t="n">
        <v>0.666666666666667</v>
      </c>
      <c r="E293" s="41"/>
      <c r="F293" s="41" t="s">
        <v>88</v>
      </c>
      <c r="G293" s="41" t="n">
        <v>4</v>
      </c>
      <c r="H293" s="41" t="s">
        <v>106</v>
      </c>
      <c r="I293" s="44"/>
      <c r="J293" s="44" t="s">
        <v>105</v>
      </c>
    </row>
    <row r="294" customFormat="false" ht="15" hidden="false" customHeight="false" outlineLevel="0" collapsed="false">
      <c r="B294" s="41" t="s">
        <v>16</v>
      </c>
      <c r="C294" s="42" t="n">
        <v>46216</v>
      </c>
      <c r="D294" s="43" t="n">
        <v>0.75</v>
      </c>
      <c r="E294" s="41"/>
      <c r="F294" s="41" t="s">
        <v>88</v>
      </c>
      <c r="G294" s="41" t="n">
        <v>5</v>
      </c>
      <c r="H294" s="41" t="s">
        <v>106</v>
      </c>
      <c r="I294" s="44"/>
      <c r="J294" s="44" t="s">
        <v>105</v>
      </c>
    </row>
    <row r="295" customFormat="false" ht="15" hidden="false" customHeight="false" outlineLevel="0" collapsed="false">
      <c r="B295" s="41" t="s">
        <v>16</v>
      </c>
      <c r="C295" s="42" t="n">
        <v>46216</v>
      </c>
      <c r="D295" s="43" t="n">
        <v>0.520833333333333</v>
      </c>
      <c r="E295" s="41"/>
      <c r="F295" s="41" t="s">
        <v>88</v>
      </c>
      <c r="G295" s="41" t="n">
        <v>6</v>
      </c>
      <c r="H295" s="41"/>
      <c r="I295" s="44"/>
      <c r="J295" s="44" t="s">
        <v>105</v>
      </c>
    </row>
    <row r="296" customFormat="false" ht="15" hidden="false" customHeight="false" outlineLevel="0" collapsed="false">
      <c r="B296" s="41" t="s">
        <v>16</v>
      </c>
      <c r="C296" s="42" t="n">
        <v>46216</v>
      </c>
      <c r="D296" s="43" t="n">
        <v>0.270833333333333</v>
      </c>
      <c r="E296" s="41"/>
      <c r="F296" s="41" t="s">
        <v>88</v>
      </c>
      <c r="G296" s="41" t="n">
        <v>7</v>
      </c>
      <c r="H296" s="41"/>
      <c r="I296" s="44"/>
      <c r="J296" s="44" t="s">
        <v>105</v>
      </c>
    </row>
    <row r="297" customFormat="false" ht="15" hidden="false" customHeight="false" outlineLevel="0" collapsed="false">
      <c r="B297" s="41" t="s">
        <v>8</v>
      </c>
      <c r="C297" s="42" t="n">
        <v>46216</v>
      </c>
      <c r="D297" s="43" t="n">
        <v>0.34375</v>
      </c>
      <c r="E297" s="41" t="s">
        <v>93</v>
      </c>
      <c r="F297" s="41" t="s">
        <v>88</v>
      </c>
      <c r="G297" s="41" t="n">
        <v>1</v>
      </c>
      <c r="H297" s="41" t="s">
        <v>94</v>
      </c>
      <c r="I297" s="44"/>
      <c r="J297" s="44" t="s">
        <v>107</v>
      </c>
    </row>
    <row r="298" customFormat="false" ht="15" hidden="false" customHeight="false" outlineLevel="0" collapsed="false">
      <c r="B298" s="41" t="s">
        <v>8</v>
      </c>
      <c r="C298" s="42" t="n">
        <v>46216</v>
      </c>
      <c r="D298" s="43" t="n">
        <v>0.385416666666667</v>
      </c>
      <c r="E298" s="41" t="s">
        <v>108</v>
      </c>
      <c r="F298" s="41" t="s">
        <v>88</v>
      </c>
      <c r="G298" s="41" t="n">
        <v>2</v>
      </c>
      <c r="H298" s="41" t="s">
        <v>94</v>
      </c>
      <c r="I298" s="44"/>
      <c r="J298" s="44" t="s">
        <v>107</v>
      </c>
    </row>
    <row r="299" customFormat="false" ht="15" hidden="false" customHeight="false" outlineLevel="0" collapsed="false">
      <c r="B299" s="41" t="s">
        <v>8</v>
      </c>
      <c r="C299" s="42" t="n">
        <v>46216</v>
      </c>
      <c r="D299" s="43" t="n">
        <v>0.479166666666667</v>
      </c>
      <c r="E299" s="41" t="s">
        <v>109</v>
      </c>
      <c r="F299" s="41" t="s">
        <v>88</v>
      </c>
      <c r="G299" s="41" t="n">
        <v>3</v>
      </c>
      <c r="H299" s="41" t="s">
        <v>94</v>
      </c>
      <c r="I299" s="44"/>
      <c r="J299" s="44" t="s">
        <v>107</v>
      </c>
    </row>
    <row r="300" customFormat="false" ht="15" hidden="false" customHeight="false" outlineLevel="0" collapsed="false">
      <c r="B300" s="41" t="s">
        <v>8</v>
      </c>
      <c r="C300" s="42" t="n">
        <v>46216</v>
      </c>
      <c r="D300" s="43" t="n">
        <v>0.520833333333333</v>
      </c>
      <c r="E300" s="41"/>
      <c r="F300" s="41" t="s">
        <v>88</v>
      </c>
      <c r="G300" s="41" t="n">
        <v>4</v>
      </c>
      <c r="H300" s="41" t="s">
        <v>22</v>
      </c>
      <c r="I300" s="44"/>
      <c r="J300" s="44" t="s">
        <v>107</v>
      </c>
    </row>
    <row r="301" customFormat="false" ht="15" hidden="false" customHeight="false" outlineLevel="0" collapsed="false">
      <c r="B301" s="41" t="s">
        <v>8</v>
      </c>
      <c r="C301" s="42" t="n">
        <v>46216</v>
      </c>
      <c r="D301" s="43" t="n">
        <v>0.604166666666667</v>
      </c>
      <c r="E301" s="41"/>
      <c r="F301" s="41" t="s">
        <v>88</v>
      </c>
      <c r="G301" s="41" t="n">
        <v>5</v>
      </c>
      <c r="H301" s="41" t="s">
        <v>23</v>
      </c>
      <c r="I301" s="44"/>
      <c r="J301" s="44" t="s">
        <v>107</v>
      </c>
    </row>
    <row r="302" customFormat="false" ht="15" hidden="false" customHeight="false" outlineLevel="0" collapsed="false">
      <c r="B302" s="41" t="s">
        <v>8</v>
      </c>
      <c r="C302" s="42" t="n">
        <v>46216</v>
      </c>
      <c r="D302" s="43" t="n">
        <v>0.708333333333333</v>
      </c>
      <c r="E302" s="41"/>
      <c r="F302" s="41" t="s">
        <v>88</v>
      </c>
      <c r="G302" s="41" t="n">
        <v>6</v>
      </c>
      <c r="H302" s="41" t="s">
        <v>24</v>
      </c>
      <c r="I302" s="44"/>
      <c r="J302" s="44" t="s">
        <v>107</v>
      </c>
    </row>
    <row r="303" customFormat="false" ht="15" hidden="false" customHeight="false" outlineLevel="0" collapsed="false">
      <c r="B303" s="41" t="s">
        <v>8</v>
      </c>
      <c r="C303" s="42" t="n">
        <v>46216</v>
      </c>
      <c r="D303" s="43" t="n">
        <v>0.833333333333333</v>
      </c>
      <c r="E303" s="41"/>
      <c r="F303" s="41" t="s">
        <v>88</v>
      </c>
      <c r="G303" s="41" t="n">
        <v>7</v>
      </c>
      <c r="H303" s="41" t="s">
        <v>98</v>
      </c>
      <c r="I303" s="44"/>
      <c r="J303" s="44" t="s">
        <v>107</v>
      </c>
    </row>
    <row r="304" customFormat="false" ht="15" hidden="false" customHeight="false" outlineLevel="0" collapsed="false">
      <c r="B304" s="41" t="s">
        <v>18</v>
      </c>
      <c r="C304" s="42" t="n">
        <v>46216</v>
      </c>
      <c r="D304" s="43"/>
      <c r="E304" s="41"/>
      <c r="F304" s="41" t="s">
        <v>88</v>
      </c>
      <c r="G304" s="41" t="n">
        <v>1</v>
      </c>
      <c r="H304" s="41" t="s">
        <v>130</v>
      </c>
      <c r="I304" s="44" t="s">
        <v>131</v>
      </c>
      <c r="J304" s="44" t="s">
        <v>112</v>
      </c>
    </row>
    <row r="305" customFormat="false" ht="15" hidden="false" customHeight="false" outlineLevel="0" collapsed="false">
      <c r="B305" s="41" t="s">
        <v>10</v>
      </c>
      <c r="C305" s="42" t="n">
        <v>46216</v>
      </c>
      <c r="D305" s="43" t="n">
        <v>0.375</v>
      </c>
      <c r="E305" s="41" t="s">
        <v>102</v>
      </c>
      <c r="F305" s="41" t="s">
        <v>88</v>
      </c>
      <c r="G305" s="41" t="n">
        <v>1</v>
      </c>
      <c r="H305" s="41" t="s">
        <v>94</v>
      </c>
      <c r="I305" s="44"/>
      <c r="J305" s="44" t="s">
        <v>125</v>
      </c>
    </row>
    <row r="306" customFormat="false" ht="15" hidden="false" customHeight="false" outlineLevel="0" collapsed="false">
      <c r="B306" s="41" t="s">
        <v>10</v>
      </c>
      <c r="C306" s="42" t="n">
        <v>46216</v>
      </c>
      <c r="D306" s="43" t="n">
        <v>0.46875</v>
      </c>
      <c r="E306" s="41" t="s">
        <v>109</v>
      </c>
      <c r="F306" s="41" t="s">
        <v>88</v>
      </c>
      <c r="G306" s="41" t="n">
        <v>2</v>
      </c>
      <c r="H306" s="41" t="s">
        <v>94</v>
      </c>
      <c r="I306" s="44"/>
      <c r="J306" s="44" t="s">
        <v>125</v>
      </c>
    </row>
    <row r="307" customFormat="false" ht="15" hidden="false" customHeight="false" outlineLevel="0" collapsed="false">
      <c r="B307" s="41" t="s">
        <v>10</v>
      </c>
      <c r="C307" s="42" t="n">
        <v>46216</v>
      </c>
      <c r="D307" s="43" t="n">
        <v>0.541666666666667</v>
      </c>
      <c r="E307" s="41"/>
      <c r="F307" s="41" t="s">
        <v>88</v>
      </c>
      <c r="G307" s="41" t="n">
        <v>3</v>
      </c>
      <c r="H307" s="41" t="s">
        <v>23</v>
      </c>
      <c r="I307" s="44"/>
      <c r="J307" s="44" t="s">
        <v>125</v>
      </c>
    </row>
    <row r="308" customFormat="false" ht="15" hidden="false" customHeight="false" outlineLevel="0" collapsed="false">
      <c r="B308" s="41" t="s">
        <v>10</v>
      </c>
      <c r="C308" s="42" t="n">
        <v>46216</v>
      </c>
      <c r="D308" s="43" t="n">
        <v>0.708333333333333</v>
      </c>
      <c r="E308" s="41"/>
      <c r="F308" s="41" t="s">
        <v>88</v>
      </c>
      <c r="G308" s="41" t="n">
        <v>4</v>
      </c>
      <c r="H308" s="41" t="s">
        <v>24</v>
      </c>
      <c r="I308" s="44"/>
      <c r="J308" s="44" t="s">
        <v>125</v>
      </c>
    </row>
    <row r="309" customFormat="false" ht="15" hidden="false" customHeight="false" outlineLevel="0" collapsed="false">
      <c r="B309" s="41" t="s">
        <v>10</v>
      </c>
      <c r="C309" s="42" t="n">
        <v>46216</v>
      </c>
      <c r="D309" s="43" t="n">
        <v>0.833333333333333</v>
      </c>
      <c r="E309" s="41"/>
      <c r="F309" s="41" t="s">
        <v>88</v>
      </c>
      <c r="G309" s="41" t="n">
        <v>5</v>
      </c>
      <c r="H309" s="41" t="s">
        <v>98</v>
      </c>
      <c r="I309" s="44"/>
      <c r="J309" s="44" t="s">
        <v>125</v>
      </c>
    </row>
    <row r="310" customFormat="false" ht="15" hidden="false" customHeight="false" outlineLevel="0" collapsed="false">
      <c r="B310" s="41" t="s">
        <v>12</v>
      </c>
      <c r="C310" s="42" t="n">
        <v>46216</v>
      </c>
      <c r="D310" s="43" t="n">
        <v>0.34375</v>
      </c>
      <c r="E310" s="41"/>
      <c r="F310" s="41" t="s">
        <v>88</v>
      </c>
      <c r="G310" s="41" t="n">
        <v>1</v>
      </c>
      <c r="H310" s="41" t="s">
        <v>12</v>
      </c>
      <c r="I310" s="44" t="s">
        <v>114</v>
      </c>
      <c r="J310" s="44" t="s">
        <v>115</v>
      </c>
    </row>
    <row r="311" customFormat="false" ht="15" hidden="false" customHeight="false" outlineLevel="0" collapsed="false">
      <c r="B311" s="41" t="s">
        <v>12</v>
      </c>
      <c r="C311" s="42" t="n">
        <v>46216</v>
      </c>
      <c r="D311" s="43" t="n">
        <v>0.416666666666667</v>
      </c>
      <c r="E311" s="41"/>
      <c r="F311" s="41" t="s">
        <v>88</v>
      </c>
      <c r="G311" s="41" t="n">
        <v>2</v>
      </c>
      <c r="H311" s="41" t="s">
        <v>113</v>
      </c>
      <c r="I311" s="44"/>
      <c r="J311" s="44" t="s">
        <v>115</v>
      </c>
    </row>
    <row r="312" customFormat="false" ht="15" hidden="false" customHeight="false" outlineLevel="0" collapsed="false">
      <c r="B312" s="41" t="s">
        <v>12</v>
      </c>
      <c r="C312" s="42" t="n">
        <v>46216</v>
      </c>
      <c r="D312" s="43" t="n">
        <v>0.583333333333333</v>
      </c>
      <c r="E312" s="41"/>
      <c r="F312" s="41" t="s">
        <v>88</v>
      </c>
      <c r="G312" s="41" t="n">
        <v>3</v>
      </c>
      <c r="H312" s="41" t="s">
        <v>12</v>
      </c>
      <c r="I312" s="44"/>
      <c r="J312" s="44" t="s">
        <v>115</v>
      </c>
    </row>
    <row r="313" customFormat="false" ht="15" hidden="false" customHeight="false" outlineLevel="0" collapsed="false">
      <c r="B313" s="41" t="s">
        <v>17</v>
      </c>
      <c r="C313" s="42" t="n">
        <v>46217</v>
      </c>
      <c r="D313" s="43" t="n">
        <v>0.416666666666667</v>
      </c>
      <c r="E313" s="41"/>
      <c r="F313" s="41" t="s">
        <v>88</v>
      </c>
      <c r="G313" s="41" t="n">
        <v>1</v>
      </c>
      <c r="H313" s="41" t="s">
        <v>89</v>
      </c>
      <c r="I313" s="44" t="s">
        <v>90</v>
      </c>
      <c r="J313" s="44" t="s">
        <v>91</v>
      </c>
    </row>
    <row r="314" customFormat="false" ht="15" hidden="false" customHeight="false" outlineLevel="0" collapsed="false">
      <c r="B314" s="41" t="s">
        <v>17</v>
      </c>
      <c r="C314" s="42" t="n">
        <v>46217</v>
      </c>
      <c r="D314" s="43" t="n">
        <v>0.625</v>
      </c>
      <c r="E314" s="41" t="s">
        <v>92</v>
      </c>
      <c r="F314" s="41" t="s">
        <v>88</v>
      </c>
      <c r="G314" s="41" t="n">
        <v>2</v>
      </c>
      <c r="H314" s="41"/>
      <c r="I314" s="44" t="s">
        <v>90</v>
      </c>
      <c r="J314" s="44" t="s">
        <v>91</v>
      </c>
    </row>
    <row r="315" customFormat="false" ht="15" hidden="false" customHeight="false" outlineLevel="0" collapsed="false">
      <c r="B315" s="41" t="s">
        <v>11</v>
      </c>
      <c r="C315" s="42" t="n">
        <v>46217</v>
      </c>
      <c r="D315" s="43" t="n">
        <v>0.354166666666667</v>
      </c>
      <c r="E315" s="41" t="s">
        <v>93</v>
      </c>
      <c r="F315" s="41" t="s">
        <v>88</v>
      </c>
      <c r="G315" s="41" t="n">
        <v>1</v>
      </c>
      <c r="H315" s="41"/>
      <c r="I315" s="44" t="s">
        <v>95</v>
      </c>
      <c r="J315" s="44" t="s">
        <v>96</v>
      </c>
    </row>
    <row r="316" customFormat="false" ht="15" hidden="false" customHeight="false" outlineLevel="0" collapsed="false">
      <c r="B316" s="41" t="s">
        <v>11</v>
      </c>
      <c r="C316" s="42" t="n">
        <v>46217</v>
      </c>
      <c r="D316" s="43" t="n">
        <v>0.458333333333333</v>
      </c>
      <c r="E316" s="41" t="s">
        <v>97</v>
      </c>
      <c r="F316" s="41" t="s">
        <v>88</v>
      </c>
      <c r="G316" s="41" t="n">
        <v>2</v>
      </c>
      <c r="H316" s="41"/>
      <c r="I316" s="44"/>
      <c r="J316" s="44" t="s">
        <v>96</v>
      </c>
    </row>
    <row r="317" customFormat="false" ht="15" hidden="false" customHeight="false" outlineLevel="0" collapsed="false">
      <c r="B317" s="41" t="s">
        <v>11</v>
      </c>
      <c r="C317" s="42" t="n">
        <v>46217</v>
      </c>
      <c r="D317" s="43" t="n">
        <v>0.5625</v>
      </c>
      <c r="E317" s="41"/>
      <c r="F317" s="41" t="s">
        <v>88</v>
      </c>
      <c r="G317" s="41" t="n">
        <v>3</v>
      </c>
      <c r="H317" s="41" t="s">
        <v>23</v>
      </c>
      <c r="I317" s="44"/>
      <c r="J317" s="44" t="s">
        <v>96</v>
      </c>
    </row>
    <row r="318" customFormat="false" ht="15" hidden="false" customHeight="false" outlineLevel="0" collapsed="false">
      <c r="B318" s="41" t="s">
        <v>11</v>
      </c>
      <c r="C318" s="42" t="n">
        <v>46217</v>
      </c>
      <c r="D318" s="43" t="n">
        <v>0.604166666666667</v>
      </c>
      <c r="E318" s="41" t="s">
        <v>92</v>
      </c>
      <c r="F318" s="41" t="s">
        <v>88</v>
      </c>
      <c r="G318" s="41" t="n">
        <v>4</v>
      </c>
      <c r="H318" s="41"/>
      <c r="I318" s="44"/>
      <c r="J318" s="44" t="s">
        <v>96</v>
      </c>
    </row>
    <row r="319" customFormat="false" ht="15" hidden="false" customHeight="false" outlineLevel="0" collapsed="false">
      <c r="B319" s="41" t="s">
        <v>11</v>
      </c>
      <c r="C319" s="42" t="n">
        <v>46217</v>
      </c>
      <c r="D319" s="43" t="n">
        <v>0.666666666666667</v>
      </c>
      <c r="E319" s="41" t="s">
        <v>92</v>
      </c>
      <c r="F319" s="41" t="s">
        <v>88</v>
      </c>
      <c r="G319" s="41" t="n">
        <v>5</v>
      </c>
      <c r="H319" s="41"/>
      <c r="I319" s="44"/>
      <c r="J319" s="44" t="s">
        <v>96</v>
      </c>
    </row>
    <row r="320" customFormat="false" ht="15" hidden="false" customHeight="false" outlineLevel="0" collapsed="false">
      <c r="B320" s="41" t="s">
        <v>11</v>
      </c>
      <c r="C320" s="42" t="n">
        <v>46217</v>
      </c>
      <c r="D320" s="43" t="n">
        <v>0.833333333333333</v>
      </c>
      <c r="E320" s="41"/>
      <c r="F320" s="41" t="s">
        <v>88</v>
      </c>
      <c r="G320" s="41" t="n">
        <v>6</v>
      </c>
      <c r="H320" s="41" t="s">
        <v>98</v>
      </c>
      <c r="I320" s="44"/>
      <c r="J320" s="44" t="s">
        <v>96</v>
      </c>
    </row>
    <row r="321" customFormat="false" ht="15" hidden="false" customHeight="false" outlineLevel="0" collapsed="false">
      <c r="B321" s="41" t="s">
        <v>9</v>
      </c>
      <c r="C321" s="42" t="n">
        <v>46217</v>
      </c>
      <c r="D321" s="43" t="n">
        <v>0.34375</v>
      </c>
      <c r="E321" s="41" t="s">
        <v>93</v>
      </c>
      <c r="F321" s="41" t="s">
        <v>88</v>
      </c>
      <c r="G321" s="41" t="n">
        <v>1</v>
      </c>
      <c r="H321" s="41"/>
      <c r="I321" s="44"/>
      <c r="J321" s="44" t="s">
        <v>100</v>
      </c>
    </row>
    <row r="322" customFormat="false" ht="15" hidden="false" customHeight="false" outlineLevel="0" collapsed="false">
      <c r="B322" s="41" t="s">
        <v>9</v>
      </c>
      <c r="C322" s="42" t="n">
        <v>46217</v>
      </c>
      <c r="D322" s="43" t="n">
        <v>0.385416666666667</v>
      </c>
      <c r="E322" s="41" t="s">
        <v>108</v>
      </c>
      <c r="F322" s="41" t="s">
        <v>88</v>
      </c>
      <c r="G322" s="41" t="n">
        <v>2</v>
      </c>
      <c r="H322" s="41"/>
      <c r="I322" s="44"/>
      <c r="J322" s="44" t="s">
        <v>100</v>
      </c>
    </row>
    <row r="323" customFormat="false" ht="15" hidden="false" customHeight="false" outlineLevel="0" collapsed="false">
      <c r="B323" s="41" t="s">
        <v>9</v>
      </c>
      <c r="C323" s="42" t="n">
        <v>46217</v>
      </c>
      <c r="D323" s="43" t="n">
        <v>0.479166666666667</v>
      </c>
      <c r="E323" s="41" t="s">
        <v>109</v>
      </c>
      <c r="F323" s="41" t="s">
        <v>88</v>
      </c>
      <c r="G323" s="41" t="n">
        <v>3</v>
      </c>
      <c r="H323" s="41"/>
      <c r="I323" s="44"/>
      <c r="J323" s="44" t="s">
        <v>100</v>
      </c>
    </row>
    <row r="324" customFormat="false" ht="15" hidden="false" customHeight="false" outlineLevel="0" collapsed="false">
      <c r="B324" s="41" t="s">
        <v>9</v>
      </c>
      <c r="C324" s="42" t="n">
        <v>46217</v>
      </c>
      <c r="D324" s="43" t="n">
        <v>0.583333333333333</v>
      </c>
      <c r="E324" s="41"/>
      <c r="F324" s="41" t="s">
        <v>88</v>
      </c>
      <c r="G324" s="41" t="n">
        <v>4</v>
      </c>
      <c r="H324" s="41" t="s">
        <v>23</v>
      </c>
      <c r="I324" s="44"/>
      <c r="J324" s="44" t="s">
        <v>100</v>
      </c>
    </row>
    <row r="325" customFormat="false" ht="15" hidden="false" customHeight="false" outlineLevel="0" collapsed="false">
      <c r="B325" s="41" t="s">
        <v>9</v>
      </c>
      <c r="C325" s="42" t="n">
        <v>46217</v>
      </c>
      <c r="D325" s="43" t="n">
        <v>0.666666666666667</v>
      </c>
      <c r="E325" s="41" t="s">
        <v>92</v>
      </c>
      <c r="F325" s="41" t="s">
        <v>88</v>
      </c>
      <c r="G325" s="41" t="n">
        <v>5</v>
      </c>
      <c r="H325" s="41"/>
      <c r="I325" s="44"/>
      <c r="J325" s="44" t="s">
        <v>100</v>
      </c>
    </row>
    <row r="326" customFormat="false" ht="15" hidden="false" customHeight="false" outlineLevel="0" collapsed="false">
      <c r="B326" s="41" t="s">
        <v>9</v>
      </c>
      <c r="C326" s="42" t="n">
        <v>46217</v>
      </c>
      <c r="D326" s="43" t="n">
        <v>0.75</v>
      </c>
      <c r="E326" s="41" t="s">
        <v>92</v>
      </c>
      <c r="F326" s="41" t="s">
        <v>88</v>
      </c>
      <c r="G326" s="41" t="n">
        <v>6</v>
      </c>
      <c r="H326" s="41"/>
      <c r="I326" s="44"/>
      <c r="J326" s="44" t="s">
        <v>100</v>
      </c>
    </row>
    <row r="327" customFormat="false" ht="15" hidden="false" customHeight="false" outlineLevel="0" collapsed="false">
      <c r="B327" s="41" t="s">
        <v>9</v>
      </c>
      <c r="C327" s="42" t="n">
        <v>46217</v>
      </c>
      <c r="D327" s="43" t="n">
        <v>0.833333333333333</v>
      </c>
      <c r="E327" s="41"/>
      <c r="F327" s="41" t="s">
        <v>88</v>
      </c>
      <c r="G327" s="41" t="n">
        <v>7</v>
      </c>
      <c r="H327" s="41" t="s">
        <v>98</v>
      </c>
      <c r="I327" s="44"/>
      <c r="J327" s="44" t="s">
        <v>100</v>
      </c>
    </row>
    <row r="328" customFormat="false" ht="15" hidden="false" customHeight="false" outlineLevel="0" collapsed="false">
      <c r="B328" s="41" t="s">
        <v>14</v>
      </c>
      <c r="C328" s="42" t="n">
        <v>46217</v>
      </c>
      <c r="D328" s="43" t="n">
        <v>0.520833333333333</v>
      </c>
      <c r="E328" s="41" t="s">
        <v>102</v>
      </c>
      <c r="F328" s="41" t="s">
        <v>88</v>
      </c>
      <c r="G328" s="41" t="n">
        <v>1</v>
      </c>
      <c r="H328" s="41" t="s">
        <v>103</v>
      </c>
      <c r="I328" s="44"/>
      <c r="J328" s="44" t="s">
        <v>104</v>
      </c>
    </row>
    <row r="329" customFormat="false" ht="15" hidden="false" customHeight="false" outlineLevel="0" collapsed="false">
      <c r="B329" s="41" t="s">
        <v>14</v>
      </c>
      <c r="C329" s="42" t="n">
        <v>46217</v>
      </c>
      <c r="D329" s="43" t="n">
        <v>0.75</v>
      </c>
      <c r="E329" s="41"/>
      <c r="F329" s="41" t="s">
        <v>88</v>
      </c>
      <c r="G329" s="41" t="n">
        <v>2</v>
      </c>
      <c r="H329" s="41" t="s">
        <v>127</v>
      </c>
      <c r="I329" s="44"/>
      <c r="J329" s="44" t="s">
        <v>104</v>
      </c>
    </row>
    <row r="330" customFormat="false" ht="15" hidden="false" customHeight="false" outlineLevel="0" collapsed="false">
      <c r="B330" s="41" t="s">
        <v>15</v>
      </c>
      <c r="C330" s="42" t="n">
        <v>46217</v>
      </c>
      <c r="D330" s="43" t="n">
        <v>0.75</v>
      </c>
      <c r="E330" s="41"/>
      <c r="F330" s="41" t="s">
        <v>88</v>
      </c>
      <c r="G330" s="41" t="n">
        <v>1</v>
      </c>
      <c r="H330" s="41" t="s">
        <v>26</v>
      </c>
      <c r="I330" s="44"/>
      <c r="J330" s="44" t="s">
        <v>120</v>
      </c>
    </row>
    <row r="331" customFormat="false" ht="15" hidden="false" customHeight="false" outlineLevel="0" collapsed="false">
      <c r="B331" s="41" t="s">
        <v>16</v>
      </c>
      <c r="C331" s="42" t="n">
        <v>46217</v>
      </c>
      <c r="D331" s="43" t="n">
        <v>0.333333333333333</v>
      </c>
      <c r="E331" s="41"/>
      <c r="F331" s="41" t="s">
        <v>88</v>
      </c>
      <c r="G331" s="41" t="n">
        <v>1</v>
      </c>
      <c r="H331" s="41"/>
      <c r="I331" s="44"/>
      <c r="J331" s="44" t="s">
        <v>105</v>
      </c>
    </row>
    <row r="332" customFormat="false" ht="15" hidden="false" customHeight="false" outlineLevel="0" collapsed="false">
      <c r="B332" s="41" t="s">
        <v>16</v>
      </c>
      <c r="C332" s="42" t="n">
        <v>46217</v>
      </c>
      <c r="D332" s="43" t="n">
        <v>0.5</v>
      </c>
      <c r="E332" s="41"/>
      <c r="F332" s="41" t="s">
        <v>88</v>
      </c>
      <c r="G332" s="41" t="n">
        <v>2</v>
      </c>
      <c r="H332" s="41"/>
      <c r="I332" s="44"/>
      <c r="J332" s="44" t="s">
        <v>105</v>
      </c>
    </row>
    <row r="333" customFormat="false" ht="15" hidden="false" customHeight="false" outlineLevel="0" collapsed="false">
      <c r="B333" s="41" t="s">
        <v>16</v>
      </c>
      <c r="C333" s="42" t="n">
        <v>46217</v>
      </c>
      <c r="D333" s="43" t="n">
        <v>0.583333333333333</v>
      </c>
      <c r="E333" s="41"/>
      <c r="F333" s="41" t="s">
        <v>88</v>
      </c>
      <c r="G333" s="41" t="n">
        <v>3</v>
      </c>
      <c r="H333" s="41" t="s">
        <v>106</v>
      </c>
      <c r="I333" s="44"/>
      <c r="J333" s="44" t="s">
        <v>105</v>
      </c>
    </row>
    <row r="334" customFormat="false" ht="15" hidden="false" customHeight="false" outlineLevel="0" collapsed="false">
      <c r="B334" s="41" t="s">
        <v>16</v>
      </c>
      <c r="C334" s="42" t="n">
        <v>46217</v>
      </c>
      <c r="D334" s="43" t="n">
        <v>0.666666666666667</v>
      </c>
      <c r="E334" s="41"/>
      <c r="F334" s="41" t="s">
        <v>88</v>
      </c>
      <c r="G334" s="41" t="n">
        <v>4</v>
      </c>
      <c r="H334" s="41" t="s">
        <v>106</v>
      </c>
      <c r="I334" s="44"/>
      <c r="J334" s="44" t="s">
        <v>105</v>
      </c>
    </row>
    <row r="335" customFormat="false" ht="15" hidden="false" customHeight="false" outlineLevel="0" collapsed="false">
      <c r="B335" s="41" t="s">
        <v>16</v>
      </c>
      <c r="C335" s="42" t="n">
        <v>46217</v>
      </c>
      <c r="D335" s="43" t="n">
        <v>0.75</v>
      </c>
      <c r="E335" s="41"/>
      <c r="F335" s="41" t="s">
        <v>88</v>
      </c>
      <c r="G335" s="41" t="n">
        <v>5</v>
      </c>
      <c r="H335" s="41" t="s">
        <v>106</v>
      </c>
      <c r="I335" s="44"/>
      <c r="J335" s="44" t="s">
        <v>105</v>
      </c>
    </row>
    <row r="336" customFormat="false" ht="15" hidden="false" customHeight="false" outlineLevel="0" collapsed="false">
      <c r="B336" s="41" t="s">
        <v>16</v>
      </c>
      <c r="C336" s="42" t="n">
        <v>46217</v>
      </c>
      <c r="D336" s="43" t="n">
        <v>0.0416666666666667</v>
      </c>
      <c r="E336" s="41"/>
      <c r="F336" s="41" t="s">
        <v>88</v>
      </c>
      <c r="G336" s="41" t="n">
        <v>6</v>
      </c>
      <c r="H336" s="41"/>
      <c r="I336" s="44"/>
      <c r="J336" s="44" t="s">
        <v>105</v>
      </c>
    </row>
    <row r="337" customFormat="false" ht="15" hidden="false" customHeight="false" outlineLevel="0" collapsed="false">
      <c r="B337" s="41" t="s">
        <v>16</v>
      </c>
      <c r="C337" s="42" t="n">
        <v>46217</v>
      </c>
      <c r="D337" s="43" t="n">
        <v>0.25</v>
      </c>
      <c r="E337" s="41"/>
      <c r="F337" s="41" t="s">
        <v>88</v>
      </c>
      <c r="G337" s="41" t="n">
        <v>7</v>
      </c>
      <c r="H337" s="41"/>
      <c r="I337" s="44"/>
      <c r="J337" s="44" t="s">
        <v>105</v>
      </c>
    </row>
    <row r="338" customFormat="false" ht="15" hidden="false" customHeight="false" outlineLevel="0" collapsed="false">
      <c r="B338" s="41" t="s">
        <v>8</v>
      </c>
      <c r="C338" s="42" t="n">
        <v>46217</v>
      </c>
      <c r="D338" s="43" t="n">
        <v>0.354166666666667</v>
      </c>
      <c r="E338" s="41" t="s">
        <v>93</v>
      </c>
      <c r="F338" s="41" t="s">
        <v>88</v>
      </c>
      <c r="G338" s="41" t="n">
        <v>1</v>
      </c>
      <c r="H338" s="41"/>
      <c r="I338" s="44"/>
      <c r="J338" s="44" t="s">
        <v>107</v>
      </c>
    </row>
    <row r="339" customFormat="false" ht="15" hidden="false" customHeight="false" outlineLevel="0" collapsed="false">
      <c r="B339" s="41" t="s">
        <v>8</v>
      </c>
      <c r="C339" s="42" t="n">
        <v>46217</v>
      </c>
      <c r="D339" s="43" t="n">
        <v>0.458333333333333</v>
      </c>
      <c r="E339" s="41" t="s">
        <v>97</v>
      </c>
      <c r="F339" s="41" t="s">
        <v>88</v>
      </c>
      <c r="G339" s="41" t="n">
        <v>2</v>
      </c>
      <c r="H339" s="41"/>
      <c r="I339" s="44"/>
      <c r="J339" s="44" t="s">
        <v>107</v>
      </c>
    </row>
    <row r="340" customFormat="false" ht="15" hidden="false" customHeight="false" outlineLevel="0" collapsed="false">
      <c r="B340" s="41" t="s">
        <v>8</v>
      </c>
      <c r="C340" s="42" t="n">
        <v>46217</v>
      </c>
      <c r="D340" s="43" t="n">
        <v>0.520833333333333</v>
      </c>
      <c r="E340" s="41"/>
      <c r="F340" s="41" t="s">
        <v>88</v>
      </c>
      <c r="G340" s="41" t="n">
        <v>3</v>
      </c>
      <c r="H340" s="41" t="s">
        <v>22</v>
      </c>
      <c r="I340" s="44"/>
      <c r="J340" s="44" t="s">
        <v>107</v>
      </c>
    </row>
    <row r="341" customFormat="false" ht="15" hidden="false" customHeight="false" outlineLevel="0" collapsed="false">
      <c r="B341" s="41" t="s">
        <v>8</v>
      </c>
      <c r="C341" s="42" t="n">
        <v>46217</v>
      </c>
      <c r="D341" s="43" t="n">
        <v>0.5625</v>
      </c>
      <c r="E341" s="41"/>
      <c r="F341" s="41" t="s">
        <v>88</v>
      </c>
      <c r="G341" s="41" t="n">
        <v>4</v>
      </c>
      <c r="H341" s="41" t="s">
        <v>23</v>
      </c>
      <c r="I341" s="44"/>
      <c r="J341" s="44" t="s">
        <v>107</v>
      </c>
    </row>
    <row r="342" customFormat="false" ht="15" hidden="false" customHeight="false" outlineLevel="0" collapsed="false">
      <c r="B342" s="41" t="s">
        <v>8</v>
      </c>
      <c r="C342" s="42" t="n">
        <v>46217</v>
      </c>
      <c r="D342" s="43" t="n">
        <v>0.666666666666667</v>
      </c>
      <c r="E342" s="41" t="s">
        <v>92</v>
      </c>
      <c r="F342" s="41" t="s">
        <v>88</v>
      </c>
      <c r="G342" s="41" t="n">
        <v>5</v>
      </c>
      <c r="H342" s="41"/>
      <c r="I342" s="44"/>
      <c r="J342" s="44" t="s">
        <v>107</v>
      </c>
    </row>
    <row r="343" customFormat="false" ht="15" hidden="false" customHeight="false" outlineLevel="0" collapsed="false">
      <c r="B343" s="41" t="s">
        <v>8</v>
      </c>
      <c r="C343" s="42" t="n">
        <v>46217</v>
      </c>
      <c r="D343" s="43" t="n">
        <v>0.729166666666667</v>
      </c>
      <c r="E343" s="41" t="s">
        <v>92</v>
      </c>
      <c r="F343" s="41" t="s">
        <v>88</v>
      </c>
      <c r="G343" s="41" t="n">
        <v>6</v>
      </c>
      <c r="H343" s="41"/>
      <c r="I343" s="44"/>
      <c r="J343" s="44" t="s">
        <v>107</v>
      </c>
    </row>
    <row r="344" customFormat="false" ht="15" hidden="false" customHeight="false" outlineLevel="0" collapsed="false">
      <c r="B344" s="41" t="s">
        <v>8</v>
      </c>
      <c r="C344" s="42" t="n">
        <v>46217</v>
      </c>
      <c r="D344" s="43" t="n">
        <v>0.833333333333333</v>
      </c>
      <c r="E344" s="41"/>
      <c r="F344" s="41" t="s">
        <v>88</v>
      </c>
      <c r="G344" s="41" t="n">
        <v>7</v>
      </c>
      <c r="H344" s="41" t="s">
        <v>98</v>
      </c>
      <c r="I344" s="44"/>
      <c r="J344" s="44" t="s">
        <v>107</v>
      </c>
    </row>
    <row r="345" customFormat="false" ht="15" hidden="false" customHeight="false" outlineLevel="0" collapsed="false">
      <c r="B345" s="41" t="s">
        <v>18</v>
      </c>
      <c r="C345" s="42" t="n">
        <v>46217</v>
      </c>
      <c r="D345" s="43"/>
      <c r="E345" s="41"/>
      <c r="F345" s="41" t="s">
        <v>88</v>
      </c>
      <c r="G345" s="41" t="n">
        <v>1</v>
      </c>
      <c r="H345" s="41" t="s">
        <v>132</v>
      </c>
      <c r="I345" s="44" t="s">
        <v>133</v>
      </c>
      <c r="J345" s="44" t="s">
        <v>112</v>
      </c>
    </row>
    <row r="346" customFormat="false" ht="15" hidden="false" customHeight="false" outlineLevel="0" collapsed="false">
      <c r="B346" s="41" t="s">
        <v>10</v>
      </c>
      <c r="C346" s="42" t="n">
        <v>46217</v>
      </c>
      <c r="D346" s="43" t="n">
        <v>0.354166666666667</v>
      </c>
      <c r="E346" s="41" t="s">
        <v>93</v>
      </c>
      <c r="F346" s="41" t="s">
        <v>88</v>
      </c>
      <c r="G346" s="41" t="n">
        <v>1</v>
      </c>
      <c r="H346" s="41"/>
      <c r="I346" s="44"/>
      <c r="J346" s="44" t="s">
        <v>125</v>
      </c>
    </row>
    <row r="347" customFormat="false" ht="15" hidden="false" customHeight="false" outlineLevel="0" collapsed="false">
      <c r="B347" s="41" t="s">
        <v>10</v>
      </c>
      <c r="C347" s="42" t="n">
        <v>46217</v>
      </c>
      <c r="D347" s="43" t="n">
        <v>0.46875</v>
      </c>
      <c r="E347" s="41" t="s">
        <v>97</v>
      </c>
      <c r="F347" s="41" t="s">
        <v>88</v>
      </c>
      <c r="G347" s="41" t="n">
        <v>2</v>
      </c>
      <c r="H347" s="41"/>
      <c r="I347" s="44"/>
      <c r="J347" s="44" t="s">
        <v>125</v>
      </c>
    </row>
    <row r="348" customFormat="false" ht="15" hidden="false" customHeight="false" outlineLevel="0" collapsed="false">
      <c r="B348" s="41" t="s">
        <v>10</v>
      </c>
      <c r="C348" s="42" t="n">
        <v>46217</v>
      </c>
      <c r="D348" s="43" t="n">
        <v>0.583333333333333</v>
      </c>
      <c r="E348" s="41"/>
      <c r="F348" s="41" t="s">
        <v>88</v>
      </c>
      <c r="G348" s="41" t="n">
        <v>3</v>
      </c>
      <c r="H348" s="41" t="s">
        <v>23</v>
      </c>
      <c r="I348" s="44"/>
      <c r="J348" s="44" t="s">
        <v>125</v>
      </c>
    </row>
    <row r="349" customFormat="false" ht="15" hidden="false" customHeight="false" outlineLevel="0" collapsed="false">
      <c r="B349" s="41" t="s">
        <v>10</v>
      </c>
      <c r="C349" s="42" t="n">
        <v>46217</v>
      </c>
      <c r="D349" s="43" t="n">
        <v>0.666666666666667</v>
      </c>
      <c r="E349" s="41" t="s">
        <v>92</v>
      </c>
      <c r="F349" s="41" t="s">
        <v>88</v>
      </c>
      <c r="G349" s="41" t="n">
        <v>4</v>
      </c>
      <c r="H349" s="41"/>
      <c r="I349" s="44"/>
      <c r="J349" s="44" t="s">
        <v>125</v>
      </c>
    </row>
    <row r="350" customFormat="false" ht="15" hidden="false" customHeight="false" outlineLevel="0" collapsed="false">
      <c r="B350" s="41" t="s">
        <v>10</v>
      </c>
      <c r="C350" s="42" t="n">
        <v>46217</v>
      </c>
      <c r="D350" s="43" t="n">
        <v>0.833333333333333</v>
      </c>
      <c r="E350" s="41"/>
      <c r="F350" s="41" t="s">
        <v>88</v>
      </c>
      <c r="G350" s="41" t="n">
        <v>5</v>
      </c>
      <c r="H350" s="41" t="s">
        <v>98</v>
      </c>
      <c r="I350" s="44"/>
      <c r="J350" s="44" t="s">
        <v>125</v>
      </c>
    </row>
    <row r="351" customFormat="false" ht="15" hidden="false" customHeight="false" outlineLevel="0" collapsed="false">
      <c r="B351" s="41" t="s">
        <v>12</v>
      </c>
      <c r="C351" s="42" t="n">
        <v>46217</v>
      </c>
      <c r="D351" s="43" t="n">
        <v>0.375</v>
      </c>
      <c r="E351" s="41"/>
      <c r="F351" s="41" t="s">
        <v>88</v>
      </c>
      <c r="G351" s="41" t="n">
        <v>1</v>
      </c>
      <c r="H351" s="41" t="s">
        <v>12</v>
      </c>
      <c r="I351" s="44" t="s">
        <v>114</v>
      </c>
      <c r="J351" s="44" t="s">
        <v>115</v>
      </c>
    </row>
    <row r="352" customFormat="false" ht="15" hidden="false" customHeight="false" outlineLevel="0" collapsed="false">
      <c r="B352" s="41" t="s">
        <v>12</v>
      </c>
      <c r="C352" s="42" t="n">
        <v>46217</v>
      </c>
      <c r="D352" s="43" t="n">
        <v>0.416666666666667</v>
      </c>
      <c r="E352" s="41"/>
      <c r="F352" s="41" t="s">
        <v>88</v>
      </c>
      <c r="G352" s="41" t="n">
        <v>2</v>
      </c>
      <c r="H352" s="41" t="s">
        <v>12</v>
      </c>
      <c r="I352" s="44"/>
      <c r="J352" s="44" t="s">
        <v>115</v>
      </c>
    </row>
    <row r="353" customFormat="false" ht="15" hidden="false" customHeight="false" outlineLevel="0" collapsed="false">
      <c r="B353" s="41" t="s">
        <v>12</v>
      </c>
      <c r="C353" s="42" t="n">
        <v>46217</v>
      </c>
      <c r="D353" s="43" t="n">
        <v>0.458333333333333</v>
      </c>
      <c r="E353" s="41"/>
      <c r="F353" s="41" t="s">
        <v>88</v>
      </c>
      <c r="G353" s="41" t="n">
        <v>3</v>
      </c>
      <c r="H353" s="41" t="s">
        <v>113</v>
      </c>
      <c r="I353" s="44"/>
      <c r="J353" s="44" t="s">
        <v>115</v>
      </c>
    </row>
    <row r="354" customFormat="false" ht="15" hidden="false" customHeight="false" outlineLevel="0" collapsed="false">
      <c r="B354" s="41" t="s">
        <v>12</v>
      </c>
      <c r="C354" s="42" t="n">
        <v>46217</v>
      </c>
      <c r="D354" s="43" t="n">
        <v>0.541666666666667</v>
      </c>
      <c r="E354" s="41"/>
      <c r="F354" s="41" t="s">
        <v>88</v>
      </c>
      <c r="G354" s="41" t="n">
        <v>4</v>
      </c>
      <c r="H354" s="41" t="s">
        <v>12</v>
      </c>
      <c r="I354" s="44"/>
      <c r="J354" s="44" t="s">
        <v>115</v>
      </c>
    </row>
    <row r="355" customFormat="false" ht="15" hidden="false" customHeight="false" outlineLevel="0" collapsed="false">
      <c r="B355" s="41" t="s">
        <v>17</v>
      </c>
      <c r="C355" s="42" t="n">
        <v>46218</v>
      </c>
      <c r="D355" s="43" t="n">
        <v>0.479166666666667</v>
      </c>
      <c r="E355" s="41"/>
      <c r="F355" s="41" t="s">
        <v>88</v>
      </c>
      <c r="G355" s="41" t="n">
        <v>1</v>
      </c>
      <c r="H355" s="41" t="s">
        <v>89</v>
      </c>
      <c r="I355" s="44" t="s">
        <v>116</v>
      </c>
      <c r="J355" s="44" t="s">
        <v>91</v>
      </c>
    </row>
    <row r="356" customFormat="false" ht="15" hidden="false" customHeight="false" outlineLevel="0" collapsed="false">
      <c r="B356" s="41" t="s">
        <v>17</v>
      </c>
      <c r="C356" s="42" t="n">
        <v>46218</v>
      </c>
      <c r="D356" s="43" t="n">
        <v>0.708333333333333</v>
      </c>
      <c r="E356" s="41" t="s">
        <v>92</v>
      </c>
      <c r="F356" s="41" t="s">
        <v>88</v>
      </c>
      <c r="G356" s="41" t="n">
        <v>2</v>
      </c>
      <c r="H356" s="41"/>
      <c r="I356" s="44" t="s">
        <v>116</v>
      </c>
      <c r="J356" s="44" t="s">
        <v>91</v>
      </c>
    </row>
    <row r="357" customFormat="false" ht="15" hidden="false" customHeight="false" outlineLevel="0" collapsed="false">
      <c r="B357" s="41" t="s">
        <v>11</v>
      </c>
      <c r="C357" s="42" t="n">
        <v>46218</v>
      </c>
      <c r="D357" s="43" t="n">
        <v>0.354166666666667</v>
      </c>
      <c r="E357" s="41" t="s">
        <v>93</v>
      </c>
      <c r="F357" s="41" t="s">
        <v>88</v>
      </c>
      <c r="G357" s="41" t="n">
        <v>1</v>
      </c>
      <c r="H357" s="41" t="s">
        <v>94</v>
      </c>
      <c r="I357" s="44" t="s">
        <v>95</v>
      </c>
      <c r="J357" s="44" t="s">
        <v>96</v>
      </c>
    </row>
    <row r="358" customFormat="false" ht="15" hidden="false" customHeight="false" outlineLevel="0" collapsed="false">
      <c r="B358" s="41" t="s">
        <v>11</v>
      </c>
      <c r="C358" s="42" t="n">
        <v>46218</v>
      </c>
      <c r="D358" s="43" t="n">
        <v>0.479166666666667</v>
      </c>
      <c r="E358" s="41" t="s">
        <v>97</v>
      </c>
      <c r="F358" s="41" t="s">
        <v>88</v>
      </c>
      <c r="G358" s="41" t="n">
        <v>2</v>
      </c>
      <c r="H358" s="41" t="s">
        <v>94</v>
      </c>
      <c r="I358" s="44"/>
      <c r="J358" s="44" t="s">
        <v>96</v>
      </c>
    </row>
    <row r="359" customFormat="false" ht="15" hidden="false" customHeight="false" outlineLevel="0" collapsed="false">
      <c r="B359" s="41" t="s">
        <v>11</v>
      </c>
      <c r="C359" s="42" t="n">
        <v>46218</v>
      </c>
      <c r="D359" s="43" t="n">
        <v>0.5625</v>
      </c>
      <c r="E359" s="41"/>
      <c r="F359" s="41" t="s">
        <v>88</v>
      </c>
      <c r="G359" s="41" t="n">
        <v>3</v>
      </c>
      <c r="H359" s="41" t="s">
        <v>23</v>
      </c>
      <c r="I359" s="44"/>
      <c r="J359" s="44" t="s">
        <v>96</v>
      </c>
    </row>
    <row r="360" customFormat="false" ht="15" hidden="false" customHeight="false" outlineLevel="0" collapsed="false">
      <c r="B360" s="41" t="s">
        <v>11</v>
      </c>
      <c r="C360" s="42" t="n">
        <v>46218</v>
      </c>
      <c r="D360" s="43" t="n">
        <v>0.708333333333333</v>
      </c>
      <c r="E360" s="41"/>
      <c r="F360" s="41" t="s">
        <v>88</v>
      </c>
      <c r="G360" s="41" t="n">
        <v>4</v>
      </c>
      <c r="H360" s="41" t="s">
        <v>24</v>
      </c>
      <c r="I360" s="44"/>
      <c r="J360" s="44" t="s">
        <v>96</v>
      </c>
    </row>
    <row r="361" customFormat="false" ht="15" hidden="false" customHeight="false" outlineLevel="0" collapsed="false">
      <c r="B361" s="41" t="s">
        <v>11</v>
      </c>
      <c r="C361" s="42" t="n">
        <v>46218</v>
      </c>
      <c r="D361" s="43" t="n">
        <v>0.833333333333333</v>
      </c>
      <c r="E361" s="41"/>
      <c r="F361" s="41" t="s">
        <v>88</v>
      </c>
      <c r="G361" s="41" t="n">
        <v>5</v>
      </c>
      <c r="H361" s="41" t="s">
        <v>98</v>
      </c>
      <c r="I361" s="44"/>
      <c r="J361" s="44" t="s">
        <v>96</v>
      </c>
    </row>
    <row r="362" customFormat="false" ht="15" hidden="false" customHeight="false" outlineLevel="0" collapsed="false">
      <c r="B362" s="41" t="s">
        <v>9</v>
      </c>
      <c r="C362" s="42" t="n">
        <v>46218</v>
      </c>
      <c r="D362" s="43" t="n">
        <v>0.354166666666667</v>
      </c>
      <c r="E362" s="41" t="s">
        <v>93</v>
      </c>
      <c r="F362" s="41" t="s">
        <v>88</v>
      </c>
      <c r="G362" s="41" t="n">
        <v>1</v>
      </c>
      <c r="H362" s="41" t="s">
        <v>94</v>
      </c>
      <c r="I362" s="44"/>
      <c r="J362" s="44" t="s">
        <v>100</v>
      </c>
    </row>
    <row r="363" customFormat="false" ht="15" hidden="false" customHeight="false" outlineLevel="0" collapsed="false">
      <c r="B363" s="41" t="s">
        <v>9</v>
      </c>
      <c r="C363" s="42" t="n">
        <v>46218</v>
      </c>
      <c r="D363" s="43" t="n">
        <v>0.458333333333333</v>
      </c>
      <c r="E363" s="41" t="s">
        <v>97</v>
      </c>
      <c r="F363" s="41" t="s">
        <v>88</v>
      </c>
      <c r="G363" s="41" t="n">
        <v>2</v>
      </c>
      <c r="H363" s="41" t="s">
        <v>94</v>
      </c>
      <c r="I363" s="44"/>
      <c r="J363" s="44" t="s">
        <v>100</v>
      </c>
    </row>
    <row r="364" customFormat="false" ht="15" hidden="false" customHeight="false" outlineLevel="0" collapsed="false">
      <c r="B364" s="41" t="s">
        <v>9</v>
      </c>
      <c r="C364" s="42" t="n">
        <v>46218</v>
      </c>
      <c r="D364" s="43" t="n">
        <v>0.541666666666667</v>
      </c>
      <c r="E364" s="41"/>
      <c r="F364" s="41" t="s">
        <v>88</v>
      </c>
      <c r="G364" s="41" t="n">
        <v>3</v>
      </c>
      <c r="H364" s="41" t="s">
        <v>23</v>
      </c>
      <c r="I364" s="44"/>
      <c r="J364" s="44" t="s">
        <v>100</v>
      </c>
    </row>
    <row r="365" customFormat="false" ht="15" hidden="false" customHeight="false" outlineLevel="0" collapsed="false">
      <c r="B365" s="41" t="s">
        <v>9</v>
      </c>
      <c r="C365" s="42" t="n">
        <v>46218</v>
      </c>
      <c r="D365" s="43" t="n">
        <v>0.645833333333333</v>
      </c>
      <c r="E365" s="41" t="s">
        <v>92</v>
      </c>
      <c r="F365" s="41" t="s">
        <v>88</v>
      </c>
      <c r="G365" s="41" t="n">
        <v>4</v>
      </c>
      <c r="H365" s="41"/>
      <c r="I365" s="44"/>
      <c r="J365" s="44" t="s">
        <v>100</v>
      </c>
    </row>
    <row r="366" customFormat="false" ht="15" hidden="false" customHeight="false" outlineLevel="0" collapsed="false">
      <c r="B366" s="41" t="s">
        <v>9</v>
      </c>
      <c r="C366" s="42" t="n">
        <v>46218</v>
      </c>
      <c r="D366" s="43" t="n">
        <v>0.708333333333333</v>
      </c>
      <c r="E366" s="41"/>
      <c r="F366" s="41" t="s">
        <v>88</v>
      </c>
      <c r="G366" s="41" t="n">
        <v>5</v>
      </c>
      <c r="H366" s="41" t="s">
        <v>24</v>
      </c>
      <c r="I366" s="44"/>
      <c r="J366" s="44" t="s">
        <v>100</v>
      </c>
    </row>
    <row r="367" customFormat="false" ht="15" hidden="false" customHeight="false" outlineLevel="0" collapsed="false">
      <c r="B367" s="41" t="s">
        <v>9</v>
      </c>
      <c r="C367" s="42" t="n">
        <v>46218</v>
      </c>
      <c r="D367" s="43" t="n">
        <v>0.833333333333333</v>
      </c>
      <c r="E367" s="41"/>
      <c r="F367" s="41" t="s">
        <v>88</v>
      </c>
      <c r="G367" s="41" t="n">
        <v>6</v>
      </c>
      <c r="H367" s="41" t="s">
        <v>98</v>
      </c>
      <c r="I367" s="44"/>
      <c r="J367" s="44" t="s">
        <v>100</v>
      </c>
    </row>
    <row r="368" customFormat="false" ht="15" hidden="false" customHeight="false" outlineLevel="0" collapsed="false">
      <c r="B368" s="41" t="s">
        <v>14</v>
      </c>
      <c r="C368" s="42" t="n">
        <v>46218</v>
      </c>
      <c r="D368" s="43" t="n">
        <v>0.520833333333333</v>
      </c>
      <c r="E368" s="41" t="s">
        <v>102</v>
      </c>
      <c r="F368" s="41" t="s">
        <v>88</v>
      </c>
      <c r="G368" s="41" t="n">
        <v>1</v>
      </c>
      <c r="H368" s="41" t="s">
        <v>103</v>
      </c>
      <c r="I368" s="44"/>
      <c r="J368" s="44" t="s">
        <v>104</v>
      </c>
    </row>
    <row r="369" customFormat="false" ht="15" hidden="false" customHeight="false" outlineLevel="0" collapsed="false">
      <c r="B369" s="41" t="s">
        <v>15</v>
      </c>
      <c r="C369" s="42" t="n">
        <v>46218</v>
      </c>
      <c r="D369" s="43" t="n">
        <v>0.75</v>
      </c>
      <c r="E369" s="41"/>
      <c r="F369" s="41" t="s">
        <v>88</v>
      </c>
      <c r="G369" s="41" t="n">
        <v>1</v>
      </c>
      <c r="H369" s="41" t="s">
        <v>26</v>
      </c>
      <c r="I369" s="44"/>
      <c r="J369" s="44" t="s">
        <v>120</v>
      </c>
    </row>
    <row r="370" customFormat="false" ht="15" hidden="false" customHeight="false" outlineLevel="0" collapsed="false">
      <c r="B370" s="41" t="s">
        <v>16</v>
      </c>
      <c r="C370" s="42" t="n">
        <v>46218</v>
      </c>
      <c r="D370" s="43" t="n">
        <v>0.333333333333333</v>
      </c>
      <c r="E370" s="41"/>
      <c r="F370" s="41" t="s">
        <v>88</v>
      </c>
      <c r="G370" s="41" t="n">
        <v>1</v>
      </c>
      <c r="H370" s="41"/>
      <c r="I370" s="44"/>
      <c r="J370" s="44" t="s">
        <v>105</v>
      </c>
    </row>
    <row r="371" customFormat="false" ht="15" hidden="false" customHeight="false" outlineLevel="0" collapsed="false">
      <c r="B371" s="41" t="s">
        <v>16</v>
      </c>
      <c r="C371" s="42" t="n">
        <v>46218</v>
      </c>
      <c r="D371" s="43" t="n">
        <v>0.5</v>
      </c>
      <c r="E371" s="41"/>
      <c r="F371" s="41" t="s">
        <v>88</v>
      </c>
      <c r="G371" s="41" t="n">
        <v>2</v>
      </c>
      <c r="H371" s="41"/>
      <c r="I371" s="44"/>
      <c r="J371" s="44" t="s">
        <v>105</v>
      </c>
    </row>
    <row r="372" customFormat="false" ht="15" hidden="false" customHeight="false" outlineLevel="0" collapsed="false">
      <c r="B372" s="41" t="s">
        <v>16</v>
      </c>
      <c r="C372" s="42" t="n">
        <v>46218</v>
      </c>
      <c r="D372" s="43" t="n">
        <v>0.583333333333333</v>
      </c>
      <c r="E372" s="41"/>
      <c r="F372" s="41" t="s">
        <v>88</v>
      </c>
      <c r="G372" s="41" t="n">
        <v>3</v>
      </c>
      <c r="H372" s="41" t="s">
        <v>106</v>
      </c>
      <c r="I372" s="44"/>
      <c r="J372" s="44" t="s">
        <v>105</v>
      </c>
    </row>
    <row r="373" customFormat="false" ht="15" hidden="false" customHeight="false" outlineLevel="0" collapsed="false">
      <c r="B373" s="41" t="s">
        <v>16</v>
      </c>
      <c r="C373" s="42" t="n">
        <v>46218</v>
      </c>
      <c r="D373" s="43" t="n">
        <v>0.666666666666667</v>
      </c>
      <c r="E373" s="41"/>
      <c r="F373" s="41" t="s">
        <v>88</v>
      </c>
      <c r="G373" s="41" t="n">
        <v>4</v>
      </c>
      <c r="H373" s="41" t="s">
        <v>106</v>
      </c>
      <c r="I373" s="44"/>
      <c r="J373" s="44" t="s">
        <v>105</v>
      </c>
    </row>
    <row r="374" customFormat="false" ht="15" hidden="false" customHeight="false" outlineLevel="0" collapsed="false">
      <c r="B374" s="41" t="s">
        <v>16</v>
      </c>
      <c r="C374" s="42" t="n">
        <v>46218</v>
      </c>
      <c r="D374" s="43" t="n">
        <v>0.75</v>
      </c>
      <c r="E374" s="41"/>
      <c r="F374" s="41" t="s">
        <v>88</v>
      </c>
      <c r="G374" s="41" t="n">
        <v>5</v>
      </c>
      <c r="H374" s="41" t="s">
        <v>106</v>
      </c>
      <c r="I374" s="44"/>
      <c r="J374" s="44" t="s">
        <v>105</v>
      </c>
    </row>
    <row r="375" customFormat="false" ht="15" hidden="false" customHeight="false" outlineLevel="0" collapsed="false">
      <c r="B375" s="41" t="s">
        <v>16</v>
      </c>
      <c r="C375" s="42" t="n">
        <v>46218</v>
      </c>
      <c r="D375" s="43" t="n">
        <v>0.520833333333333</v>
      </c>
      <c r="E375" s="41"/>
      <c r="F375" s="41" t="s">
        <v>88</v>
      </c>
      <c r="G375" s="41" t="n">
        <v>6</v>
      </c>
      <c r="H375" s="41"/>
      <c r="I375" s="44"/>
      <c r="J375" s="44" t="s">
        <v>105</v>
      </c>
    </row>
    <row r="376" customFormat="false" ht="15" hidden="false" customHeight="false" outlineLevel="0" collapsed="false">
      <c r="B376" s="41" t="s">
        <v>16</v>
      </c>
      <c r="C376" s="42" t="n">
        <v>46218</v>
      </c>
      <c r="D376" s="43" t="n">
        <v>0.25</v>
      </c>
      <c r="E376" s="41"/>
      <c r="F376" s="41" t="s">
        <v>88</v>
      </c>
      <c r="G376" s="41" t="n">
        <v>7</v>
      </c>
      <c r="H376" s="41"/>
      <c r="I376" s="44"/>
      <c r="J376" s="44" t="s">
        <v>105</v>
      </c>
    </row>
    <row r="377" customFormat="false" ht="15" hidden="false" customHeight="false" outlineLevel="0" collapsed="false">
      <c r="B377" s="41" t="s">
        <v>8</v>
      </c>
      <c r="C377" s="42" t="n">
        <v>46218</v>
      </c>
      <c r="D377" s="43" t="n">
        <v>0.416666666666667</v>
      </c>
      <c r="E377" s="41" t="s">
        <v>99</v>
      </c>
      <c r="F377" s="41" t="s">
        <v>88</v>
      </c>
      <c r="G377" s="41" t="n">
        <v>1</v>
      </c>
      <c r="H377" s="41" t="s">
        <v>94</v>
      </c>
      <c r="I377" s="44"/>
      <c r="J377" s="44" t="s">
        <v>107</v>
      </c>
    </row>
    <row r="378" customFormat="false" ht="15" hidden="false" customHeight="false" outlineLevel="0" collapsed="false">
      <c r="B378" s="41" t="s">
        <v>8</v>
      </c>
      <c r="C378" s="42" t="n">
        <v>46218</v>
      </c>
      <c r="D378" s="43" t="n">
        <v>0.479166666666667</v>
      </c>
      <c r="E378" s="41" t="s">
        <v>101</v>
      </c>
      <c r="F378" s="41" t="s">
        <v>88</v>
      </c>
      <c r="G378" s="41" t="n">
        <v>2</v>
      </c>
      <c r="H378" s="41" t="s">
        <v>94</v>
      </c>
      <c r="I378" s="44"/>
      <c r="J378" s="44" t="s">
        <v>107</v>
      </c>
    </row>
    <row r="379" customFormat="false" ht="15" hidden="false" customHeight="false" outlineLevel="0" collapsed="false">
      <c r="B379" s="41" t="s">
        <v>8</v>
      </c>
      <c r="C379" s="42" t="n">
        <v>46218</v>
      </c>
      <c r="D379" s="43" t="n">
        <v>0.520833333333333</v>
      </c>
      <c r="E379" s="41"/>
      <c r="F379" s="41" t="s">
        <v>88</v>
      </c>
      <c r="G379" s="41" t="n">
        <v>3</v>
      </c>
      <c r="H379" s="41" t="s">
        <v>22</v>
      </c>
      <c r="I379" s="44"/>
      <c r="J379" s="44" t="s">
        <v>107</v>
      </c>
    </row>
    <row r="380" customFormat="false" ht="15" hidden="false" customHeight="false" outlineLevel="0" collapsed="false">
      <c r="B380" s="41" t="s">
        <v>8</v>
      </c>
      <c r="C380" s="42" t="n">
        <v>46218</v>
      </c>
      <c r="D380" s="43" t="n">
        <v>0.5625</v>
      </c>
      <c r="E380" s="41"/>
      <c r="F380" s="41" t="s">
        <v>88</v>
      </c>
      <c r="G380" s="41" t="n">
        <v>4</v>
      </c>
      <c r="H380" s="41" t="s">
        <v>23</v>
      </c>
      <c r="I380" s="44"/>
      <c r="J380" s="44" t="s">
        <v>107</v>
      </c>
    </row>
    <row r="381" customFormat="false" ht="15" hidden="false" customHeight="false" outlineLevel="0" collapsed="false">
      <c r="B381" s="41" t="s">
        <v>8</v>
      </c>
      <c r="C381" s="42" t="n">
        <v>46218</v>
      </c>
      <c r="D381" s="43" t="n">
        <v>0.708333333333333</v>
      </c>
      <c r="E381" s="41"/>
      <c r="F381" s="41" t="s">
        <v>88</v>
      </c>
      <c r="G381" s="41" t="n">
        <v>5</v>
      </c>
      <c r="H381" s="41" t="s">
        <v>24</v>
      </c>
      <c r="I381" s="44"/>
      <c r="J381" s="44" t="s">
        <v>107</v>
      </c>
    </row>
    <row r="382" customFormat="false" ht="15" hidden="false" customHeight="false" outlineLevel="0" collapsed="false">
      <c r="B382" s="41" t="s">
        <v>8</v>
      </c>
      <c r="C382" s="42" t="n">
        <v>46218</v>
      </c>
      <c r="D382" s="43" t="n">
        <v>0.833333333333333</v>
      </c>
      <c r="E382" s="41"/>
      <c r="F382" s="41" t="s">
        <v>88</v>
      </c>
      <c r="G382" s="41" t="n">
        <v>6</v>
      </c>
      <c r="H382" s="41" t="s">
        <v>98</v>
      </c>
      <c r="I382" s="44"/>
      <c r="J382" s="44" t="s">
        <v>107</v>
      </c>
    </row>
    <row r="383" customFormat="false" ht="15" hidden="false" customHeight="false" outlineLevel="0" collapsed="false">
      <c r="B383" s="41" t="s">
        <v>18</v>
      </c>
      <c r="C383" s="42" t="n">
        <v>46218</v>
      </c>
      <c r="D383" s="43"/>
      <c r="E383" s="41"/>
      <c r="F383" s="41" t="s">
        <v>88</v>
      </c>
      <c r="G383" s="41" t="n">
        <v>1</v>
      </c>
      <c r="H383" s="41" t="s">
        <v>132</v>
      </c>
      <c r="I383" s="44" t="s">
        <v>133</v>
      </c>
      <c r="J383" s="44" t="s">
        <v>112</v>
      </c>
    </row>
    <row r="384" customFormat="false" ht="15" hidden="false" customHeight="false" outlineLevel="0" collapsed="false">
      <c r="B384" s="41" t="s">
        <v>10</v>
      </c>
      <c r="C384" s="42" t="n">
        <v>46218</v>
      </c>
      <c r="D384" s="43" t="n">
        <v>0.34375</v>
      </c>
      <c r="E384" s="41" t="s">
        <v>93</v>
      </c>
      <c r="F384" s="41" t="s">
        <v>88</v>
      </c>
      <c r="G384" s="41" t="n">
        <v>1</v>
      </c>
      <c r="H384" s="41" t="s">
        <v>94</v>
      </c>
      <c r="I384" s="44"/>
      <c r="J384" s="44" t="s">
        <v>125</v>
      </c>
    </row>
    <row r="385" customFormat="false" ht="15" hidden="false" customHeight="false" outlineLevel="0" collapsed="false">
      <c r="B385" s="41" t="s">
        <v>10</v>
      </c>
      <c r="C385" s="42" t="n">
        <v>46218</v>
      </c>
      <c r="D385" s="43" t="n">
        <v>0.46875</v>
      </c>
      <c r="E385" s="41" t="s">
        <v>97</v>
      </c>
      <c r="F385" s="41" t="s">
        <v>88</v>
      </c>
      <c r="G385" s="41" t="n">
        <v>2</v>
      </c>
      <c r="H385" s="41" t="s">
        <v>94</v>
      </c>
      <c r="I385" s="44"/>
      <c r="J385" s="44" t="s">
        <v>125</v>
      </c>
    </row>
    <row r="386" customFormat="false" ht="15" hidden="false" customHeight="false" outlineLevel="0" collapsed="false">
      <c r="B386" s="41" t="s">
        <v>10</v>
      </c>
      <c r="C386" s="42" t="n">
        <v>46218</v>
      </c>
      <c r="D386" s="43" t="n">
        <v>0.541666666666667</v>
      </c>
      <c r="E386" s="41"/>
      <c r="F386" s="41" t="s">
        <v>88</v>
      </c>
      <c r="G386" s="41" t="n">
        <v>3</v>
      </c>
      <c r="H386" s="41" t="s">
        <v>23</v>
      </c>
      <c r="I386" s="44"/>
      <c r="J386" s="44" t="s">
        <v>125</v>
      </c>
    </row>
    <row r="387" customFormat="false" ht="15" hidden="false" customHeight="false" outlineLevel="0" collapsed="false">
      <c r="B387" s="41" t="s">
        <v>10</v>
      </c>
      <c r="C387" s="42" t="n">
        <v>46218</v>
      </c>
      <c r="D387" s="43" t="n">
        <v>0.708333333333333</v>
      </c>
      <c r="E387" s="41"/>
      <c r="F387" s="41" t="s">
        <v>88</v>
      </c>
      <c r="G387" s="41" t="n">
        <v>4</v>
      </c>
      <c r="H387" s="41" t="s">
        <v>24</v>
      </c>
      <c r="I387" s="44"/>
      <c r="J387" s="44" t="s">
        <v>125</v>
      </c>
    </row>
    <row r="388" customFormat="false" ht="15" hidden="false" customHeight="false" outlineLevel="0" collapsed="false">
      <c r="B388" s="41" t="s">
        <v>10</v>
      </c>
      <c r="C388" s="42" t="n">
        <v>46218</v>
      </c>
      <c r="D388" s="43" t="n">
        <v>0.833333333333333</v>
      </c>
      <c r="E388" s="41"/>
      <c r="F388" s="41" t="s">
        <v>88</v>
      </c>
      <c r="G388" s="41" t="n">
        <v>5</v>
      </c>
      <c r="H388" s="41" t="s">
        <v>98</v>
      </c>
      <c r="I388" s="44"/>
      <c r="J388" s="44" t="s">
        <v>125</v>
      </c>
    </row>
    <row r="389" customFormat="false" ht="15" hidden="false" customHeight="false" outlineLevel="0" collapsed="false">
      <c r="B389" s="41" t="s">
        <v>12</v>
      </c>
      <c r="C389" s="42" t="n">
        <v>46218</v>
      </c>
      <c r="D389" s="43" t="n">
        <v>0.34375</v>
      </c>
      <c r="E389" s="41"/>
      <c r="F389" s="41" t="s">
        <v>88</v>
      </c>
      <c r="G389" s="41" t="n">
        <v>1</v>
      </c>
      <c r="H389" s="41" t="s">
        <v>12</v>
      </c>
      <c r="I389" s="44" t="s">
        <v>114</v>
      </c>
      <c r="J389" s="44" t="s">
        <v>115</v>
      </c>
    </row>
    <row r="390" customFormat="false" ht="15" hidden="false" customHeight="false" outlineLevel="0" collapsed="false">
      <c r="B390" s="41" t="s">
        <v>12</v>
      </c>
      <c r="C390" s="42" t="n">
        <v>46218</v>
      </c>
      <c r="D390" s="43" t="n">
        <v>0.416666666666667</v>
      </c>
      <c r="E390" s="41"/>
      <c r="F390" s="41" t="s">
        <v>88</v>
      </c>
      <c r="G390" s="41" t="n">
        <v>2</v>
      </c>
      <c r="H390" s="41" t="s">
        <v>12</v>
      </c>
      <c r="I390" s="44"/>
      <c r="J390" s="44" t="s">
        <v>115</v>
      </c>
    </row>
    <row r="391" customFormat="false" ht="15" hidden="false" customHeight="false" outlineLevel="0" collapsed="false">
      <c r="B391" s="41" t="s">
        <v>12</v>
      </c>
      <c r="C391" s="42" t="n">
        <v>46218</v>
      </c>
      <c r="D391" s="43" t="n">
        <v>0.5</v>
      </c>
      <c r="E391" s="41"/>
      <c r="F391" s="41" t="s">
        <v>88</v>
      </c>
      <c r="G391" s="41" t="n">
        <v>3</v>
      </c>
      <c r="H391" s="41" t="s">
        <v>113</v>
      </c>
      <c r="I391" s="44"/>
      <c r="J391" s="44" t="s">
        <v>115</v>
      </c>
    </row>
    <row r="392" customFormat="false" ht="15" hidden="false" customHeight="false" outlineLevel="0" collapsed="false">
      <c r="B392" s="41" t="s">
        <v>12</v>
      </c>
      <c r="C392" s="42" t="n">
        <v>46218</v>
      </c>
      <c r="D392" s="43" t="n">
        <v>0.583333333333333</v>
      </c>
      <c r="E392" s="41"/>
      <c r="F392" s="41" t="s">
        <v>88</v>
      </c>
      <c r="G392" s="41" t="n">
        <v>4</v>
      </c>
      <c r="H392" s="41" t="s">
        <v>12</v>
      </c>
      <c r="I392" s="44"/>
      <c r="J392" s="44" t="s">
        <v>115</v>
      </c>
    </row>
    <row r="393" customFormat="false" ht="15" hidden="false" customHeight="false" outlineLevel="0" collapsed="false">
      <c r="B393" s="41" t="s">
        <v>17</v>
      </c>
      <c r="C393" s="42" t="n">
        <v>46219</v>
      </c>
      <c r="D393" s="43" t="n">
        <v>0.5625</v>
      </c>
      <c r="E393" s="41"/>
      <c r="F393" s="41" t="s">
        <v>88</v>
      </c>
      <c r="G393" s="41" t="n">
        <v>1</v>
      </c>
      <c r="H393" s="41" t="s">
        <v>89</v>
      </c>
      <c r="I393" s="44" t="s">
        <v>122</v>
      </c>
      <c r="J393" s="44" t="s">
        <v>91</v>
      </c>
    </row>
    <row r="394" customFormat="false" ht="15" hidden="false" customHeight="false" outlineLevel="0" collapsed="false">
      <c r="B394" s="41" t="s">
        <v>11</v>
      </c>
      <c r="C394" s="42" t="n">
        <v>46219</v>
      </c>
      <c r="D394" s="43" t="n">
        <v>0.34375</v>
      </c>
      <c r="E394" s="41" t="s">
        <v>93</v>
      </c>
      <c r="F394" s="41" t="s">
        <v>88</v>
      </c>
      <c r="G394" s="41" t="n">
        <v>1</v>
      </c>
      <c r="H394" s="41"/>
      <c r="I394" s="44" t="s">
        <v>95</v>
      </c>
      <c r="J394" s="44" t="s">
        <v>96</v>
      </c>
    </row>
    <row r="395" customFormat="false" ht="15" hidden="false" customHeight="false" outlineLevel="0" collapsed="false">
      <c r="B395" s="41" t="s">
        <v>11</v>
      </c>
      <c r="C395" s="42" t="n">
        <v>46219</v>
      </c>
      <c r="D395" s="43" t="n">
        <v>0.479166666666667</v>
      </c>
      <c r="E395" s="41" t="s">
        <v>97</v>
      </c>
      <c r="F395" s="41" t="s">
        <v>88</v>
      </c>
      <c r="G395" s="41" t="n">
        <v>2</v>
      </c>
      <c r="H395" s="41"/>
      <c r="I395" s="44"/>
      <c r="J395" s="44" t="s">
        <v>96</v>
      </c>
    </row>
    <row r="396" customFormat="false" ht="15" hidden="false" customHeight="false" outlineLevel="0" collapsed="false">
      <c r="B396" s="41" t="s">
        <v>11</v>
      </c>
      <c r="C396" s="42" t="n">
        <v>46219</v>
      </c>
      <c r="D396" s="43" t="n">
        <v>0.5625</v>
      </c>
      <c r="E396" s="41"/>
      <c r="F396" s="41" t="s">
        <v>88</v>
      </c>
      <c r="G396" s="41" t="n">
        <v>3</v>
      </c>
      <c r="H396" s="41" t="s">
        <v>23</v>
      </c>
      <c r="I396" s="44"/>
      <c r="J396" s="44" t="s">
        <v>96</v>
      </c>
    </row>
    <row r="397" customFormat="false" ht="15" hidden="false" customHeight="false" outlineLevel="0" collapsed="false">
      <c r="B397" s="41" t="s">
        <v>11</v>
      </c>
      <c r="C397" s="42" t="n">
        <v>46219</v>
      </c>
      <c r="D397" s="43" t="n">
        <v>0.604166666666667</v>
      </c>
      <c r="E397" s="41" t="s">
        <v>92</v>
      </c>
      <c r="F397" s="41" t="s">
        <v>88</v>
      </c>
      <c r="G397" s="41" t="n">
        <v>4</v>
      </c>
      <c r="H397" s="41"/>
      <c r="I397" s="44"/>
      <c r="J397" s="44" t="s">
        <v>96</v>
      </c>
    </row>
    <row r="398" customFormat="false" ht="15" hidden="false" customHeight="false" outlineLevel="0" collapsed="false">
      <c r="B398" s="41" t="s">
        <v>11</v>
      </c>
      <c r="C398" s="42" t="n">
        <v>46219</v>
      </c>
      <c r="D398" s="43" t="n">
        <v>0.666666666666667</v>
      </c>
      <c r="E398" s="41" t="s">
        <v>92</v>
      </c>
      <c r="F398" s="41" t="s">
        <v>88</v>
      </c>
      <c r="G398" s="41" t="n">
        <v>5</v>
      </c>
      <c r="H398" s="41"/>
      <c r="I398" s="44"/>
      <c r="J398" s="44" t="s">
        <v>96</v>
      </c>
    </row>
    <row r="399" customFormat="false" ht="15" hidden="false" customHeight="false" outlineLevel="0" collapsed="false">
      <c r="B399" s="41" t="s">
        <v>11</v>
      </c>
      <c r="C399" s="42" t="n">
        <v>46219</v>
      </c>
      <c r="D399" s="43" t="n">
        <v>0.833333333333333</v>
      </c>
      <c r="E399" s="41"/>
      <c r="F399" s="41" t="s">
        <v>88</v>
      </c>
      <c r="G399" s="41" t="n">
        <v>6</v>
      </c>
      <c r="H399" s="41" t="s">
        <v>98</v>
      </c>
      <c r="I399" s="44"/>
      <c r="J399" s="44" t="s">
        <v>96</v>
      </c>
    </row>
    <row r="400" customFormat="false" ht="15" hidden="false" customHeight="false" outlineLevel="0" collapsed="false">
      <c r="B400" s="41" t="s">
        <v>9</v>
      </c>
      <c r="C400" s="42" t="n">
        <v>46219</v>
      </c>
      <c r="D400" s="43" t="n">
        <v>0.385416666666667</v>
      </c>
      <c r="E400" s="41" t="s">
        <v>102</v>
      </c>
      <c r="F400" s="41" t="s">
        <v>88</v>
      </c>
      <c r="G400" s="41" t="n">
        <v>1</v>
      </c>
      <c r="H400" s="41"/>
      <c r="I400" s="44"/>
      <c r="J400" s="44" t="s">
        <v>100</v>
      </c>
    </row>
    <row r="401" customFormat="false" ht="15" hidden="false" customHeight="false" outlineLevel="0" collapsed="false">
      <c r="B401" s="41" t="s">
        <v>9</v>
      </c>
      <c r="C401" s="42" t="n">
        <v>46219</v>
      </c>
      <c r="D401" s="43" t="n">
        <v>0.479166666666667</v>
      </c>
      <c r="E401" s="41" t="s">
        <v>109</v>
      </c>
      <c r="F401" s="41" t="s">
        <v>88</v>
      </c>
      <c r="G401" s="41" t="n">
        <v>2</v>
      </c>
      <c r="H401" s="41"/>
      <c r="I401" s="44"/>
      <c r="J401" s="44" t="s">
        <v>100</v>
      </c>
    </row>
    <row r="402" customFormat="false" ht="15" hidden="false" customHeight="false" outlineLevel="0" collapsed="false">
      <c r="B402" s="41" t="s">
        <v>9</v>
      </c>
      <c r="C402" s="42" t="n">
        <v>46219</v>
      </c>
      <c r="D402" s="43" t="n">
        <v>0.583333333333333</v>
      </c>
      <c r="E402" s="41"/>
      <c r="F402" s="41" t="s">
        <v>88</v>
      </c>
      <c r="G402" s="41" t="n">
        <v>3</v>
      </c>
      <c r="H402" s="41" t="s">
        <v>23</v>
      </c>
      <c r="I402" s="44"/>
      <c r="J402" s="44" t="s">
        <v>100</v>
      </c>
    </row>
    <row r="403" customFormat="false" ht="15" hidden="false" customHeight="false" outlineLevel="0" collapsed="false">
      <c r="B403" s="41" t="s">
        <v>9</v>
      </c>
      <c r="C403" s="42" t="n">
        <v>46219</v>
      </c>
      <c r="D403" s="43" t="n">
        <v>0.75</v>
      </c>
      <c r="E403" s="41" t="s">
        <v>92</v>
      </c>
      <c r="F403" s="41" t="s">
        <v>88</v>
      </c>
      <c r="G403" s="41" t="n">
        <v>4</v>
      </c>
      <c r="H403" s="41"/>
      <c r="I403" s="44"/>
      <c r="J403" s="44" t="s">
        <v>100</v>
      </c>
    </row>
    <row r="404" customFormat="false" ht="15" hidden="false" customHeight="false" outlineLevel="0" collapsed="false">
      <c r="B404" s="41" t="s">
        <v>9</v>
      </c>
      <c r="C404" s="42" t="n">
        <v>46219</v>
      </c>
      <c r="D404" s="43" t="n">
        <v>0.833333333333333</v>
      </c>
      <c r="E404" s="41"/>
      <c r="F404" s="41" t="s">
        <v>88</v>
      </c>
      <c r="G404" s="41" t="n">
        <v>5</v>
      </c>
      <c r="H404" s="41" t="s">
        <v>98</v>
      </c>
      <c r="I404" s="44"/>
      <c r="J404" s="44" t="s">
        <v>100</v>
      </c>
    </row>
    <row r="405" customFormat="false" ht="15" hidden="false" customHeight="false" outlineLevel="0" collapsed="false">
      <c r="B405" s="41" t="s">
        <v>14</v>
      </c>
      <c r="C405" s="42" t="n">
        <v>46219</v>
      </c>
      <c r="D405" s="43" t="n">
        <v>0.520833333333333</v>
      </c>
      <c r="E405" s="41" t="s">
        <v>102</v>
      </c>
      <c r="F405" s="41" t="s">
        <v>88</v>
      </c>
      <c r="G405" s="41" t="n">
        <v>1</v>
      </c>
      <c r="H405" s="41" t="s">
        <v>103</v>
      </c>
      <c r="I405" s="44"/>
      <c r="J405" s="44" t="s">
        <v>104</v>
      </c>
    </row>
    <row r="406" customFormat="false" ht="15" hidden="false" customHeight="false" outlineLevel="0" collapsed="false">
      <c r="B406" s="41" t="s">
        <v>15</v>
      </c>
      <c r="C406" s="42" t="n">
        <v>46219</v>
      </c>
      <c r="D406" s="43" t="n">
        <v>0.75</v>
      </c>
      <c r="E406" s="41"/>
      <c r="F406" s="41" t="s">
        <v>88</v>
      </c>
      <c r="G406" s="41" t="n">
        <v>1</v>
      </c>
      <c r="H406" s="41" t="s">
        <v>26</v>
      </c>
      <c r="I406" s="44"/>
      <c r="J406" s="44" t="s">
        <v>120</v>
      </c>
    </row>
    <row r="407" customFormat="false" ht="15" hidden="false" customHeight="false" outlineLevel="0" collapsed="false">
      <c r="B407" s="41" t="s">
        <v>16</v>
      </c>
      <c r="C407" s="42" t="n">
        <v>46219</v>
      </c>
      <c r="D407" s="43" t="n">
        <v>0.333333333333333</v>
      </c>
      <c r="E407" s="41"/>
      <c r="F407" s="41" t="s">
        <v>88</v>
      </c>
      <c r="G407" s="41" t="n">
        <v>1</v>
      </c>
      <c r="H407" s="41"/>
      <c r="I407" s="44"/>
      <c r="J407" s="44" t="s">
        <v>105</v>
      </c>
    </row>
    <row r="408" customFormat="false" ht="15" hidden="false" customHeight="false" outlineLevel="0" collapsed="false">
      <c r="B408" s="41" t="s">
        <v>16</v>
      </c>
      <c r="C408" s="42" t="n">
        <v>46219</v>
      </c>
      <c r="D408" s="43" t="n">
        <v>0.5</v>
      </c>
      <c r="E408" s="41"/>
      <c r="F408" s="41" t="s">
        <v>88</v>
      </c>
      <c r="G408" s="41" t="n">
        <v>2</v>
      </c>
      <c r="H408" s="41"/>
      <c r="I408" s="44"/>
      <c r="J408" s="44" t="s">
        <v>105</v>
      </c>
    </row>
    <row r="409" customFormat="false" ht="15" hidden="false" customHeight="false" outlineLevel="0" collapsed="false">
      <c r="B409" s="41" t="s">
        <v>16</v>
      </c>
      <c r="C409" s="42" t="n">
        <v>46219</v>
      </c>
      <c r="D409" s="43" t="n">
        <v>0.583333333333333</v>
      </c>
      <c r="E409" s="41"/>
      <c r="F409" s="41" t="s">
        <v>88</v>
      </c>
      <c r="G409" s="41" t="n">
        <v>3</v>
      </c>
      <c r="H409" s="41" t="s">
        <v>106</v>
      </c>
      <c r="I409" s="44"/>
      <c r="J409" s="44" t="s">
        <v>105</v>
      </c>
    </row>
    <row r="410" customFormat="false" ht="15" hidden="false" customHeight="false" outlineLevel="0" collapsed="false">
      <c r="B410" s="41" t="s">
        <v>16</v>
      </c>
      <c r="C410" s="42" t="n">
        <v>46219</v>
      </c>
      <c r="D410" s="43" t="n">
        <v>0.666666666666667</v>
      </c>
      <c r="E410" s="41"/>
      <c r="F410" s="41" t="s">
        <v>88</v>
      </c>
      <c r="G410" s="41" t="n">
        <v>4</v>
      </c>
      <c r="H410" s="41" t="s">
        <v>106</v>
      </c>
      <c r="I410" s="44"/>
      <c r="J410" s="44" t="s">
        <v>105</v>
      </c>
    </row>
    <row r="411" customFormat="false" ht="15" hidden="false" customHeight="false" outlineLevel="0" collapsed="false">
      <c r="B411" s="41" t="s">
        <v>16</v>
      </c>
      <c r="C411" s="42" t="n">
        <v>46219</v>
      </c>
      <c r="D411" s="43" t="n">
        <v>0.75</v>
      </c>
      <c r="E411" s="41"/>
      <c r="F411" s="41" t="s">
        <v>88</v>
      </c>
      <c r="G411" s="41" t="n">
        <v>5</v>
      </c>
      <c r="H411" s="41" t="s">
        <v>106</v>
      </c>
      <c r="I411" s="44"/>
      <c r="J411" s="44" t="s">
        <v>105</v>
      </c>
    </row>
    <row r="412" customFormat="false" ht="15" hidden="false" customHeight="false" outlineLevel="0" collapsed="false">
      <c r="B412" s="41" t="s">
        <v>8</v>
      </c>
      <c r="C412" s="42" t="n">
        <v>46219</v>
      </c>
      <c r="D412" s="43" t="n">
        <v>0.34375</v>
      </c>
      <c r="E412" s="41" t="s">
        <v>93</v>
      </c>
      <c r="F412" s="41" t="s">
        <v>88</v>
      </c>
      <c r="G412" s="41" t="n">
        <v>1</v>
      </c>
      <c r="H412" s="41"/>
      <c r="I412" s="44"/>
      <c r="J412" s="44" t="s">
        <v>107</v>
      </c>
    </row>
    <row r="413" customFormat="false" ht="15" hidden="false" customHeight="false" outlineLevel="0" collapsed="false">
      <c r="B413" s="41" t="s">
        <v>8</v>
      </c>
      <c r="C413" s="42" t="n">
        <v>46219</v>
      </c>
      <c r="D413" s="43" t="n">
        <v>0.385416666666667</v>
      </c>
      <c r="E413" s="41" t="s">
        <v>108</v>
      </c>
      <c r="F413" s="41" t="s">
        <v>88</v>
      </c>
      <c r="G413" s="41" t="n">
        <v>2</v>
      </c>
      <c r="H413" s="41"/>
      <c r="I413" s="44"/>
      <c r="J413" s="44" t="s">
        <v>107</v>
      </c>
    </row>
    <row r="414" customFormat="false" ht="15" hidden="false" customHeight="false" outlineLevel="0" collapsed="false">
      <c r="B414" s="41" t="s">
        <v>8</v>
      </c>
      <c r="C414" s="42" t="n">
        <v>46219</v>
      </c>
      <c r="D414" s="43" t="n">
        <v>0.479166666666667</v>
      </c>
      <c r="E414" s="41" t="s">
        <v>109</v>
      </c>
      <c r="F414" s="41" t="s">
        <v>88</v>
      </c>
      <c r="G414" s="41" t="n">
        <v>3</v>
      </c>
      <c r="H414" s="41"/>
      <c r="I414" s="44"/>
      <c r="J414" s="44" t="s">
        <v>107</v>
      </c>
    </row>
    <row r="415" customFormat="false" ht="15" hidden="false" customHeight="false" outlineLevel="0" collapsed="false">
      <c r="B415" s="41" t="s">
        <v>8</v>
      </c>
      <c r="C415" s="42" t="n">
        <v>46219</v>
      </c>
      <c r="D415" s="43" t="n">
        <v>0.520833333333333</v>
      </c>
      <c r="E415" s="41"/>
      <c r="F415" s="41" t="s">
        <v>88</v>
      </c>
      <c r="G415" s="41" t="n">
        <v>4</v>
      </c>
      <c r="H415" s="41" t="s">
        <v>22</v>
      </c>
      <c r="I415" s="44"/>
      <c r="J415" s="44" t="s">
        <v>107</v>
      </c>
    </row>
    <row r="416" customFormat="false" ht="15" hidden="false" customHeight="false" outlineLevel="0" collapsed="false">
      <c r="B416" s="41" t="s">
        <v>8</v>
      </c>
      <c r="C416" s="42" t="n">
        <v>46219</v>
      </c>
      <c r="D416" s="43" t="n">
        <v>0.604166666666667</v>
      </c>
      <c r="E416" s="41"/>
      <c r="F416" s="41" t="s">
        <v>88</v>
      </c>
      <c r="G416" s="41" t="n">
        <v>5</v>
      </c>
      <c r="H416" s="41" t="s">
        <v>23</v>
      </c>
      <c r="I416" s="44"/>
      <c r="J416" s="44" t="s">
        <v>107</v>
      </c>
    </row>
    <row r="417" customFormat="false" ht="15" hidden="false" customHeight="false" outlineLevel="0" collapsed="false">
      <c r="B417" s="41" t="s">
        <v>8</v>
      </c>
      <c r="C417" s="42" t="n">
        <v>46219</v>
      </c>
      <c r="D417" s="43" t="n">
        <v>0.625</v>
      </c>
      <c r="E417" s="41" t="s">
        <v>92</v>
      </c>
      <c r="F417" s="41" t="s">
        <v>88</v>
      </c>
      <c r="G417" s="41" t="n">
        <v>6</v>
      </c>
      <c r="H417" s="41"/>
      <c r="I417" s="44"/>
      <c r="J417" s="44" t="s">
        <v>107</v>
      </c>
    </row>
    <row r="418" customFormat="false" ht="15" hidden="false" customHeight="false" outlineLevel="0" collapsed="false">
      <c r="B418" s="41" t="s">
        <v>8</v>
      </c>
      <c r="C418" s="42" t="n">
        <v>46219</v>
      </c>
      <c r="D418" s="43" t="n">
        <v>0.6875</v>
      </c>
      <c r="E418" s="41" t="s">
        <v>92</v>
      </c>
      <c r="F418" s="41" t="s">
        <v>88</v>
      </c>
      <c r="G418" s="41" t="n">
        <v>7</v>
      </c>
      <c r="H418" s="41"/>
      <c r="I418" s="44"/>
      <c r="J418" s="44" t="s">
        <v>107</v>
      </c>
    </row>
    <row r="419" customFormat="false" ht="15" hidden="false" customHeight="false" outlineLevel="0" collapsed="false">
      <c r="B419" s="41" t="s">
        <v>8</v>
      </c>
      <c r="C419" s="42" t="n">
        <v>46219</v>
      </c>
      <c r="D419" s="43" t="n">
        <v>0.833333333333333</v>
      </c>
      <c r="E419" s="41"/>
      <c r="F419" s="41" t="s">
        <v>88</v>
      </c>
      <c r="G419" s="41" t="n">
        <v>8</v>
      </c>
      <c r="H419" s="41" t="s">
        <v>98</v>
      </c>
      <c r="I419" s="44"/>
      <c r="J419" s="44" t="s">
        <v>107</v>
      </c>
    </row>
    <row r="420" customFormat="false" ht="15" hidden="false" customHeight="false" outlineLevel="0" collapsed="false">
      <c r="B420" s="41" t="s">
        <v>13</v>
      </c>
      <c r="C420" s="42" t="n">
        <v>46219</v>
      </c>
      <c r="D420" s="43" t="n">
        <v>0.645833333333333</v>
      </c>
      <c r="E420" s="41" t="s">
        <v>92</v>
      </c>
      <c r="F420" s="41" t="s">
        <v>88</v>
      </c>
      <c r="G420" s="41" t="n">
        <v>1</v>
      </c>
      <c r="H420" s="41"/>
      <c r="I420" s="44" t="s">
        <v>134</v>
      </c>
      <c r="J420" s="44" t="s">
        <v>135</v>
      </c>
    </row>
    <row r="421" customFormat="false" ht="15" hidden="false" customHeight="false" outlineLevel="0" collapsed="false">
      <c r="B421" s="41" t="s">
        <v>18</v>
      </c>
      <c r="C421" s="42" t="n">
        <v>46219</v>
      </c>
      <c r="D421" s="43"/>
      <c r="E421" s="41"/>
      <c r="F421" s="41" t="s">
        <v>88</v>
      </c>
      <c r="G421" s="41" t="n">
        <v>1</v>
      </c>
      <c r="H421" s="41" t="s">
        <v>110</v>
      </c>
      <c r="I421" s="44" t="s">
        <v>111</v>
      </c>
      <c r="J421" s="44" t="s">
        <v>112</v>
      </c>
    </row>
    <row r="422" customFormat="false" ht="15" hidden="false" customHeight="false" outlineLevel="0" collapsed="false">
      <c r="B422" s="41" t="s">
        <v>10</v>
      </c>
      <c r="C422" s="42" t="n">
        <v>46219</v>
      </c>
      <c r="D422" s="43" t="n">
        <v>0.354166666666667</v>
      </c>
      <c r="E422" s="41" t="s">
        <v>93</v>
      </c>
      <c r="F422" s="41" t="s">
        <v>88</v>
      </c>
      <c r="G422" s="41" t="n">
        <v>1</v>
      </c>
      <c r="H422" s="41"/>
      <c r="I422" s="44"/>
      <c r="J422" s="44" t="s">
        <v>125</v>
      </c>
    </row>
    <row r="423" customFormat="false" ht="15" hidden="false" customHeight="false" outlineLevel="0" collapsed="false">
      <c r="B423" s="41" t="s">
        <v>10</v>
      </c>
      <c r="C423" s="42" t="n">
        <v>46219</v>
      </c>
      <c r="D423" s="43" t="n">
        <v>0.46875</v>
      </c>
      <c r="E423" s="41" t="s">
        <v>97</v>
      </c>
      <c r="F423" s="41" t="s">
        <v>88</v>
      </c>
      <c r="G423" s="41" t="n">
        <v>2</v>
      </c>
      <c r="H423" s="41"/>
      <c r="I423" s="44"/>
      <c r="J423" s="44" t="s">
        <v>125</v>
      </c>
    </row>
    <row r="424" customFormat="false" ht="15" hidden="false" customHeight="false" outlineLevel="0" collapsed="false">
      <c r="B424" s="41" t="s">
        <v>10</v>
      </c>
      <c r="C424" s="42" t="n">
        <v>46219</v>
      </c>
      <c r="D424" s="43" t="n">
        <v>0.583333333333333</v>
      </c>
      <c r="E424" s="41"/>
      <c r="F424" s="41" t="s">
        <v>88</v>
      </c>
      <c r="G424" s="41" t="n">
        <v>3</v>
      </c>
      <c r="H424" s="41" t="s">
        <v>23</v>
      </c>
      <c r="I424" s="44"/>
      <c r="J424" s="44" t="s">
        <v>125</v>
      </c>
    </row>
    <row r="425" customFormat="false" ht="15" hidden="false" customHeight="false" outlineLevel="0" collapsed="false">
      <c r="B425" s="41" t="s">
        <v>10</v>
      </c>
      <c r="C425" s="42" t="n">
        <v>46219</v>
      </c>
      <c r="D425" s="43" t="n">
        <v>0.666666666666667</v>
      </c>
      <c r="E425" s="41" t="s">
        <v>92</v>
      </c>
      <c r="F425" s="41" t="s">
        <v>88</v>
      </c>
      <c r="G425" s="41" t="n">
        <v>4</v>
      </c>
      <c r="H425" s="41"/>
      <c r="I425" s="44"/>
      <c r="J425" s="44" t="s">
        <v>125</v>
      </c>
    </row>
    <row r="426" customFormat="false" ht="15" hidden="false" customHeight="false" outlineLevel="0" collapsed="false">
      <c r="B426" s="41" t="s">
        <v>10</v>
      </c>
      <c r="C426" s="42" t="n">
        <v>46219</v>
      </c>
      <c r="D426" s="43" t="n">
        <v>0.833333333333333</v>
      </c>
      <c r="E426" s="41"/>
      <c r="F426" s="41" t="s">
        <v>88</v>
      </c>
      <c r="G426" s="41" t="n">
        <v>5</v>
      </c>
      <c r="H426" s="41" t="s">
        <v>98</v>
      </c>
      <c r="I426" s="44"/>
      <c r="J426" s="44" t="s">
        <v>125</v>
      </c>
    </row>
    <row r="427" customFormat="false" ht="15" hidden="false" customHeight="false" outlineLevel="0" collapsed="false">
      <c r="B427" s="41" t="s">
        <v>12</v>
      </c>
      <c r="C427" s="42" t="n">
        <v>46219</v>
      </c>
      <c r="D427" s="43" t="n">
        <v>0.375</v>
      </c>
      <c r="E427" s="41"/>
      <c r="F427" s="41" t="s">
        <v>88</v>
      </c>
      <c r="G427" s="41" t="n">
        <v>1</v>
      </c>
      <c r="H427" s="41" t="s">
        <v>12</v>
      </c>
      <c r="I427" s="44" t="s">
        <v>114</v>
      </c>
      <c r="J427" s="44" t="s">
        <v>115</v>
      </c>
    </row>
    <row r="428" customFormat="false" ht="15" hidden="false" customHeight="false" outlineLevel="0" collapsed="false">
      <c r="B428" s="41" t="s">
        <v>12</v>
      </c>
      <c r="C428" s="42" t="n">
        <v>46219</v>
      </c>
      <c r="D428" s="43" t="n">
        <v>0.416666666666667</v>
      </c>
      <c r="E428" s="41"/>
      <c r="F428" s="41" t="s">
        <v>88</v>
      </c>
      <c r="G428" s="41" t="n">
        <v>2</v>
      </c>
      <c r="H428" s="41" t="s">
        <v>113</v>
      </c>
      <c r="I428" s="44"/>
      <c r="J428" s="44" t="s">
        <v>115</v>
      </c>
    </row>
    <row r="429" customFormat="false" ht="15" hidden="false" customHeight="false" outlineLevel="0" collapsed="false">
      <c r="B429" s="41" t="s">
        <v>12</v>
      </c>
      <c r="C429" s="42" t="n">
        <v>46219</v>
      </c>
      <c r="D429" s="43" t="n">
        <v>0.541666666666667</v>
      </c>
      <c r="E429" s="41"/>
      <c r="F429" s="41" t="s">
        <v>88</v>
      </c>
      <c r="G429" s="41" t="n">
        <v>3</v>
      </c>
      <c r="H429" s="41" t="s">
        <v>12</v>
      </c>
      <c r="I429" s="44"/>
      <c r="J429" s="44" t="s">
        <v>115</v>
      </c>
    </row>
    <row r="430" customFormat="false" ht="15" hidden="false" customHeight="false" outlineLevel="0" collapsed="false">
      <c r="B430" s="41" t="s">
        <v>17</v>
      </c>
      <c r="C430" s="42" t="n">
        <v>46220</v>
      </c>
      <c r="D430" s="43" t="n">
        <v>0.645833333333333</v>
      </c>
      <c r="E430" s="41" t="s">
        <v>92</v>
      </c>
      <c r="F430" s="41" t="s">
        <v>88</v>
      </c>
      <c r="G430" s="41" t="n">
        <v>1</v>
      </c>
      <c r="H430" s="41"/>
      <c r="I430" s="44" t="s">
        <v>116</v>
      </c>
      <c r="J430" s="44" t="s">
        <v>91</v>
      </c>
    </row>
    <row r="431" customFormat="false" ht="15" hidden="false" customHeight="false" outlineLevel="0" collapsed="false">
      <c r="B431" s="41" t="s">
        <v>17</v>
      </c>
      <c r="C431" s="42" t="n">
        <v>46220</v>
      </c>
      <c r="D431" s="43" t="n">
        <v>0.4375</v>
      </c>
      <c r="E431" s="41"/>
      <c r="F431" s="41" t="s">
        <v>88</v>
      </c>
      <c r="G431" s="41" t="n">
        <v>2</v>
      </c>
      <c r="H431" s="41" t="s">
        <v>89</v>
      </c>
      <c r="I431" s="44" t="s">
        <v>126</v>
      </c>
      <c r="J431" s="44" t="s">
        <v>91</v>
      </c>
    </row>
    <row r="432" customFormat="false" ht="15" hidden="false" customHeight="false" outlineLevel="0" collapsed="false">
      <c r="B432" s="41" t="s">
        <v>11</v>
      </c>
      <c r="C432" s="42" t="n">
        <v>46220</v>
      </c>
      <c r="D432" s="43" t="n">
        <v>0.34375</v>
      </c>
      <c r="E432" s="41" t="s">
        <v>93</v>
      </c>
      <c r="F432" s="41" t="s">
        <v>88</v>
      </c>
      <c r="G432" s="41" t="n">
        <v>1</v>
      </c>
      <c r="H432" s="41" t="s">
        <v>94</v>
      </c>
      <c r="I432" s="44" t="s">
        <v>95</v>
      </c>
      <c r="J432" s="44" t="s">
        <v>96</v>
      </c>
    </row>
    <row r="433" customFormat="false" ht="15" hidden="false" customHeight="false" outlineLevel="0" collapsed="false">
      <c r="B433" s="41" t="s">
        <v>11</v>
      </c>
      <c r="C433" s="42" t="n">
        <v>46220</v>
      </c>
      <c r="D433" s="43" t="n">
        <v>0.479166666666667</v>
      </c>
      <c r="E433" s="41" t="s">
        <v>97</v>
      </c>
      <c r="F433" s="41" t="s">
        <v>88</v>
      </c>
      <c r="G433" s="41" t="n">
        <v>2</v>
      </c>
      <c r="H433" s="41" t="s">
        <v>94</v>
      </c>
      <c r="I433" s="44"/>
      <c r="J433" s="44" t="s">
        <v>96</v>
      </c>
    </row>
    <row r="434" customFormat="false" ht="15" hidden="false" customHeight="false" outlineLevel="0" collapsed="false">
      <c r="B434" s="41" t="s">
        <v>11</v>
      </c>
      <c r="C434" s="42" t="n">
        <v>46220</v>
      </c>
      <c r="D434" s="43" t="n">
        <v>0.5625</v>
      </c>
      <c r="E434" s="41"/>
      <c r="F434" s="41" t="s">
        <v>88</v>
      </c>
      <c r="G434" s="41" t="n">
        <v>3</v>
      </c>
      <c r="H434" s="41" t="s">
        <v>23</v>
      </c>
      <c r="I434" s="44"/>
      <c r="J434" s="44" t="s">
        <v>96</v>
      </c>
    </row>
    <row r="435" customFormat="false" ht="15" hidden="false" customHeight="false" outlineLevel="0" collapsed="false">
      <c r="B435" s="41" t="s">
        <v>11</v>
      </c>
      <c r="C435" s="42" t="n">
        <v>46220</v>
      </c>
      <c r="D435" s="43" t="n">
        <v>0.708333333333333</v>
      </c>
      <c r="E435" s="41"/>
      <c r="F435" s="41" t="s">
        <v>88</v>
      </c>
      <c r="G435" s="41" t="n">
        <v>4</v>
      </c>
      <c r="H435" s="41" t="s">
        <v>24</v>
      </c>
      <c r="I435" s="44"/>
      <c r="J435" s="44" t="s">
        <v>96</v>
      </c>
    </row>
    <row r="436" customFormat="false" ht="15" hidden="false" customHeight="false" outlineLevel="0" collapsed="false">
      <c r="B436" s="41" t="s">
        <v>11</v>
      </c>
      <c r="C436" s="42" t="n">
        <v>46220</v>
      </c>
      <c r="D436" s="43" t="n">
        <v>0.833333333333333</v>
      </c>
      <c r="E436" s="41"/>
      <c r="F436" s="41" t="s">
        <v>88</v>
      </c>
      <c r="G436" s="41" t="n">
        <v>5</v>
      </c>
      <c r="H436" s="41" t="s">
        <v>98</v>
      </c>
      <c r="I436" s="44"/>
      <c r="J436" s="44" t="s">
        <v>96</v>
      </c>
    </row>
    <row r="437" customFormat="false" ht="15" hidden="false" customHeight="false" outlineLevel="0" collapsed="false">
      <c r="B437" s="41" t="s">
        <v>9</v>
      </c>
      <c r="C437" s="42" t="n">
        <v>46220</v>
      </c>
      <c r="D437" s="43" t="n">
        <v>0.354166666666667</v>
      </c>
      <c r="E437" s="41" t="s">
        <v>93</v>
      </c>
      <c r="F437" s="41" t="s">
        <v>88</v>
      </c>
      <c r="G437" s="41" t="n">
        <v>1</v>
      </c>
      <c r="H437" s="41" t="s">
        <v>94</v>
      </c>
      <c r="I437" s="44"/>
      <c r="J437" s="44" t="s">
        <v>100</v>
      </c>
    </row>
    <row r="438" customFormat="false" ht="15" hidden="false" customHeight="false" outlineLevel="0" collapsed="false">
      <c r="B438" s="41" t="s">
        <v>9</v>
      </c>
      <c r="C438" s="42" t="n">
        <v>46220</v>
      </c>
      <c r="D438" s="43" t="n">
        <v>0.458333333333333</v>
      </c>
      <c r="E438" s="41" t="s">
        <v>97</v>
      </c>
      <c r="F438" s="41" t="s">
        <v>88</v>
      </c>
      <c r="G438" s="41" t="n">
        <v>2</v>
      </c>
      <c r="H438" s="41" t="s">
        <v>94</v>
      </c>
      <c r="I438" s="44"/>
      <c r="J438" s="44" t="s">
        <v>100</v>
      </c>
    </row>
    <row r="439" customFormat="false" ht="15" hidden="false" customHeight="false" outlineLevel="0" collapsed="false">
      <c r="B439" s="41" t="s">
        <v>9</v>
      </c>
      <c r="C439" s="42" t="n">
        <v>46220</v>
      </c>
      <c r="D439" s="43" t="n">
        <v>0.541666666666667</v>
      </c>
      <c r="E439" s="41"/>
      <c r="F439" s="41" t="s">
        <v>88</v>
      </c>
      <c r="G439" s="41" t="n">
        <v>3</v>
      </c>
      <c r="H439" s="41" t="s">
        <v>23</v>
      </c>
      <c r="I439" s="44"/>
      <c r="J439" s="44" t="s">
        <v>100</v>
      </c>
    </row>
    <row r="440" customFormat="false" ht="15" hidden="false" customHeight="false" outlineLevel="0" collapsed="false">
      <c r="B440" s="41" t="s">
        <v>9</v>
      </c>
      <c r="C440" s="42" t="n">
        <v>46220</v>
      </c>
      <c r="D440" s="43" t="n">
        <v>0.708333333333333</v>
      </c>
      <c r="E440" s="41"/>
      <c r="F440" s="41" t="s">
        <v>88</v>
      </c>
      <c r="G440" s="41" t="n">
        <v>4</v>
      </c>
      <c r="H440" s="41" t="s">
        <v>24</v>
      </c>
      <c r="I440" s="44"/>
      <c r="J440" s="44" t="s">
        <v>100</v>
      </c>
    </row>
    <row r="441" customFormat="false" ht="15" hidden="false" customHeight="false" outlineLevel="0" collapsed="false">
      <c r="B441" s="41" t="s">
        <v>9</v>
      </c>
      <c r="C441" s="42" t="n">
        <v>46220</v>
      </c>
      <c r="D441" s="43" t="n">
        <v>0.833333333333333</v>
      </c>
      <c r="E441" s="41"/>
      <c r="F441" s="41" t="s">
        <v>88</v>
      </c>
      <c r="G441" s="41" t="n">
        <v>5</v>
      </c>
      <c r="H441" s="41" t="s">
        <v>98</v>
      </c>
      <c r="I441" s="44"/>
      <c r="J441" s="44" t="s">
        <v>100</v>
      </c>
    </row>
    <row r="442" customFormat="false" ht="15" hidden="false" customHeight="false" outlineLevel="0" collapsed="false">
      <c r="B442" s="41" t="s">
        <v>14</v>
      </c>
      <c r="C442" s="42" t="n">
        <v>46220</v>
      </c>
      <c r="D442" s="43" t="n">
        <v>0.520833333333333</v>
      </c>
      <c r="E442" s="41" t="s">
        <v>102</v>
      </c>
      <c r="F442" s="41" t="s">
        <v>88</v>
      </c>
      <c r="G442" s="41" t="n">
        <v>1</v>
      </c>
      <c r="H442" s="41" t="s">
        <v>103</v>
      </c>
      <c r="I442" s="44"/>
      <c r="J442" s="44" t="s">
        <v>104</v>
      </c>
    </row>
    <row r="443" customFormat="false" ht="15" hidden="false" customHeight="false" outlineLevel="0" collapsed="false">
      <c r="B443" s="41" t="s">
        <v>15</v>
      </c>
      <c r="C443" s="42" t="n">
        <v>46220</v>
      </c>
      <c r="D443" s="43" t="n">
        <v>0.75</v>
      </c>
      <c r="E443" s="41"/>
      <c r="F443" s="41" t="s">
        <v>88</v>
      </c>
      <c r="G443" s="41" t="n">
        <v>1</v>
      </c>
      <c r="H443" s="41" t="s">
        <v>26</v>
      </c>
      <c r="I443" s="44"/>
      <c r="J443" s="44" t="s">
        <v>120</v>
      </c>
    </row>
    <row r="444" customFormat="false" ht="15" hidden="false" customHeight="false" outlineLevel="0" collapsed="false">
      <c r="B444" s="41" t="s">
        <v>16</v>
      </c>
      <c r="C444" s="42" t="n">
        <v>46220</v>
      </c>
      <c r="D444" s="43" t="n">
        <v>0.333333333333333</v>
      </c>
      <c r="E444" s="41"/>
      <c r="F444" s="41" t="s">
        <v>88</v>
      </c>
      <c r="G444" s="41" t="n">
        <v>1</v>
      </c>
      <c r="H444" s="41"/>
      <c r="I444" s="44"/>
      <c r="J444" s="44" t="s">
        <v>105</v>
      </c>
    </row>
    <row r="445" customFormat="false" ht="15" hidden="false" customHeight="false" outlineLevel="0" collapsed="false">
      <c r="B445" s="41" t="s">
        <v>16</v>
      </c>
      <c r="C445" s="42" t="n">
        <v>46220</v>
      </c>
      <c r="D445" s="43" t="n">
        <v>0.5</v>
      </c>
      <c r="E445" s="41"/>
      <c r="F445" s="41" t="s">
        <v>88</v>
      </c>
      <c r="G445" s="41" t="n">
        <v>2</v>
      </c>
      <c r="H445" s="41"/>
      <c r="I445" s="44"/>
      <c r="J445" s="44" t="s">
        <v>105</v>
      </c>
    </row>
    <row r="446" customFormat="false" ht="15" hidden="false" customHeight="false" outlineLevel="0" collapsed="false">
      <c r="B446" s="41" t="s">
        <v>16</v>
      </c>
      <c r="C446" s="42" t="n">
        <v>46220</v>
      </c>
      <c r="D446" s="43" t="n">
        <v>0.583333333333333</v>
      </c>
      <c r="E446" s="41"/>
      <c r="F446" s="41" t="s">
        <v>88</v>
      </c>
      <c r="G446" s="41" t="n">
        <v>3</v>
      </c>
      <c r="H446" s="41" t="s">
        <v>106</v>
      </c>
      <c r="I446" s="44"/>
      <c r="J446" s="44" t="s">
        <v>105</v>
      </c>
    </row>
    <row r="447" customFormat="false" ht="15" hidden="false" customHeight="false" outlineLevel="0" collapsed="false">
      <c r="B447" s="41" t="s">
        <v>16</v>
      </c>
      <c r="C447" s="42" t="n">
        <v>46220</v>
      </c>
      <c r="D447" s="43" t="n">
        <v>0.666666666666667</v>
      </c>
      <c r="E447" s="41"/>
      <c r="F447" s="41" t="s">
        <v>88</v>
      </c>
      <c r="G447" s="41" t="n">
        <v>4</v>
      </c>
      <c r="H447" s="41" t="s">
        <v>106</v>
      </c>
      <c r="I447" s="44"/>
      <c r="J447" s="44" t="s">
        <v>105</v>
      </c>
    </row>
    <row r="448" customFormat="false" ht="15" hidden="false" customHeight="false" outlineLevel="0" collapsed="false">
      <c r="B448" s="41" t="s">
        <v>16</v>
      </c>
      <c r="C448" s="42" t="n">
        <v>46220</v>
      </c>
      <c r="D448" s="43" t="n">
        <v>0.75</v>
      </c>
      <c r="E448" s="41"/>
      <c r="F448" s="41" t="s">
        <v>88</v>
      </c>
      <c r="G448" s="41" t="n">
        <v>5</v>
      </c>
      <c r="H448" s="41" t="s">
        <v>106</v>
      </c>
      <c r="I448" s="44"/>
      <c r="J448" s="44" t="s">
        <v>105</v>
      </c>
    </row>
    <row r="449" customFormat="false" ht="15" hidden="false" customHeight="false" outlineLevel="0" collapsed="false">
      <c r="B449" s="41" t="s">
        <v>8</v>
      </c>
      <c r="C449" s="42" t="n">
        <v>46220</v>
      </c>
      <c r="D449" s="43" t="n">
        <v>0.354166666666667</v>
      </c>
      <c r="E449" s="41" t="s">
        <v>93</v>
      </c>
      <c r="F449" s="41" t="s">
        <v>88</v>
      </c>
      <c r="G449" s="41" t="n">
        <v>1</v>
      </c>
      <c r="H449" s="41" t="s">
        <v>94</v>
      </c>
      <c r="I449" s="44"/>
      <c r="J449" s="44" t="s">
        <v>107</v>
      </c>
    </row>
    <row r="450" customFormat="false" ht="15" hidden="false" customHeight="false" outlineLevel="0" collapsed="false">
      <c r="B450" s="41" t="s">
        <v>8</v>
      </c>
      <c r="C450" s="42" t="n">
        <v>46220</v>
      </c>
      <c r="D450" s="43" t="n">
        <v>0.458333333333333</v>
      </c>
      <c r="E450" s="41" t="s">
        <v>97</v>
      </c>
      <c r="F450" s="41" t="s">
        <v>88</v>
      </c>
      <c r="G450" s="41" t="n">
        <v>2</v>
      </c>
      <c r="H450" s="41" t="s">
        <v>94</v>
      </c>
      <c r="I450" s="44"/>
      <c r="J450" s="44" t="s">
        <v>107</v>
      </c>
    </row>
    <row r="451" customFormat="false" ht="15" hidden="false" customHeight="false" outlineLevel="0" collapsed="false">
      <c r="B451" s="41" t="s">
        <v>8</v>
      </c>
      <c r="C451" s="42" t="n">
        <v>46220</v>
      </c>
      <c r="D451" s="43" t="n">
        <v>0.520833333333333</v>
      </c>
      <c r="E451" s="41"/>
      <c r="F451" s="41" t="s">
        <v>88</v>
      </c>
      <c r="G451" s="41" t="n">
        <v>3</v>
      </c>
      <c r="H451" s="41" t="s">
        <v>22</v>
      </c>
      <c r="I451" s="44"/>
      <c r="J451" s="44" t="s">
        <v>107</v>
      </c>
    </row>
    <row r="452" customFormat="false" ht="15" hidden="false" customHeight="false" outlineLevel="0" collapsed="false">
      <c r="B452" s="41" t="s">
        <v>8</v>
      </c>
      <c r="C452" s="42" t="n">
        <v>46220</v>
      </c>
      <c r="D452" s="43" t="n">
        <v>0.5625</v>
      </c>
      <c r="E452" s="41"/>
      <c r="F452" s="41" t="s">
        <v>88</v>
      </c>
      <c r="G452" s="41" t="n">
        <v>4</v>
      </c>
      <c r="H452" s="41" t="s">
        <v>23</v>
      </c>
      <c r="I452" s="44"/>
      <c r="J452" s="44" t="s">
        <v>107</v>
      </c>
    </row>
    <row r="453" customFormat="false" ht="15" hidden="false" customHeight="false" outlineLevel="0" collapsed="false">
      <c r="B453" s="41" t="s">
        <v>8</v>
      </c>
      <c r="C453" s="42" t="n">
        <v>46220</v>
      </c>
      <c r="D453" s="43" t="n">
        <v>0.708333333333333</v>
      </c>
      <c r="E453" s="41"/>
      <c r="F453" s="41" t="s">
        <v>88</v>
      </c>
      <c r="G453" s="41" t="n">
        <v>5</v>
      </c>
      <c r="H453" s="41" t="s">
        <v>24</v>
      </c>
      <c r="I453" s="44"/>
      <c r="J453" s="44" t="s">
        <v>107</v>
      </c>
    </row>
    <row r="454" customFormat="false" ht="15" hidden="false" customHeight="false" outlineLevel="0" collapsed="false">
      <c r="B454" s="41" t="s">
        <v>8</v>
      </c>
      <c r="C454" s="42" t="n">
        <v>46220</v>
      </c>
      <c r="D454" s="43" t="n">
        <v>0.833333333333333</v>
      </c>
      <c r="E454" s="41"/>
      <c r="F454" s="41" t="s">
        <v>88</v>
      </c>
      <c r="G454" s="41" t="n">
        <v>6</v>
      </c>
      <c r="H454" s="41" t="s">
        <v>98</v>
      </c>
      <c r="I454" s="44"/>
      <c r="J454" s="44" t="s">
        <v>107</v>
      </c>
    </row>
    <row r="455" customFormat="false" ht="15" hidden="false" customHeight="false" outlineLevel="0" collapsed="false">
      <c r="B455" s="41" t="s">
        <v>18</v>
      </c>
      <c r="C455" s="42" t="n">
        <v>46220</v>
      </c>
      <c r="D455" s="43"/>
      <c r="E455" s="41"/>
      <c r="F455" s="41" t="s">
        <v>88</v>
      </c>
      <c r="G455" s="41" t="n">
        <v>1</v>
      </c>
      <c r="H455" s="41" t="s">
        <v>128</v>
      </c>
      <c r="I455" s="44" t="s">
        <v>129</v>
      </c>
      <c r="J455" s="44" t="s">
        <v>112</v>
      </c>
    </row>
    <row r="456" customFormat="false" ht="15" hidden="false" customHeight="false" outlineLevel="0" collapsed="false">
      <c r="B456" s="41" t="s">
        <v>10</v>
      </c>
      <c r="C456" s="42" t="n">
        <v>46220</v>
      </c>
      <c r="D456" s="43" t="n">
        <v>0.375</v>
      </c>
      <c r="E456" s="41" t="s">
        <v>102</v>
      </c>
      <c r="F456" s="41" t="s">
        <v>88</v>
      </c>
      <c r="G456" s="41" t="n">
        <v>1</v>
      </c>
      <c r="H456" s="41" t="s">
        <v>94</v>
      </c>
      <c r="I456" s="44"/>
      <c r="J456" s="44" t="s">
        <v>125</v>
      </c>
    </row>
    <row r="457" customFormat="false" ht="15" hidden="false" customHeight="false" outlineLevel="0" collapsed="false">
      <c r="B457" s="41" t="s">
        <v>10</v>
      </c>
      <c r="C457" s="42" t="n">
        <v>46220</v>
      </c>
      <c r="D457" s="43" t="n">
        <v>0.46875</v>
      </c>
      <c r="E457" s="41" t="s">
        <v>109</v>
      </c>
      <c r="F457" s="41" t="s">
        <v>88</v>
      </c>
      <c r="G457" s="41" t="n">
        <v>2</v>
      </c>
      <c r="H457" s="41" t="s">
        <v>94</v>
      </c>
      <c r="I457" s="44"/>
      <c r="J457" s="44" t="s">
        <v>125</v>
      </c>
    </row>
    <row r="458" customFormat="false" ht="15" hidden="false" customHeight="false" outlineLevel="0" collapsed="false">
      <c r="B458" s="41" t="s">
        <v>10</v>
      </c>
      <c r="C458" s="42" t="n">
        <v>46220</v>
      </c>
      <c r="D458" s="43" t="n">
        <v>0.541666666666667</v>
      </c>
      <c r="E458" s="41"/>
      <c r="F458" s="41" t="s">
        <v>88</v>
      </c>
      <c r="G458" s="41" t="n">
        <v>3</v>
      </c>
      <c r="H458" s="41" t="s">
        <v>23</v>
      </c>
      <c r="I458" s="44"/>
      <c r="J458" s="44" t="s">
        <v>125</v>
      </c>
    </row>
    <row r="459" customFormat="false" ht="15" hidden="false" customHeight="false" outlineLevel="0" collapsed="false">
      <c r="B459" s="41" t="s">
        <v>10</v>
      </c>
      <c r="C459" s="42" t="n">
        <v>46220</v>
      </c>
      <c r="D459" s="43" t="n">
        <v>0.708333333333333</v>
      </c>
      <c r="E459" s="41"/>
      <c r="F459" s="41" t="s">
        <v>88</v>
      </c>
      <c r="G459" s="41" t="n">
        <v>4</v>
      </c>
      <c r="H459" s="41" t="s">
        <v>24</v>
      </c>
      <c r="I459" s="44"/>
      <c r="J459" s="44" t="s">
        <v>125</v>
      </c>
    </row>
    <row r="460" customFormat="false" ht="15" hidden="false" customHeight="false" outlineLevel="0" collapsed="false">
      <c r="B460" s="41" t="s">
        <v>10</v>
      </c>
      <c r="C460" s="42" t="n">
        <v>46220</v>
      </c>
      <c r="D460" s="43" t="n">
        <v>0.833333333333333</v>
      </c>
      <c r="E460" s="41"/>
      <c r="F460" s="41" t="s">
        <v>88</v>
      </c>
      <c r="G460" s="41" t="n">
        <v>5</v>
      </c>
      <c r="H460" s="41" t="s">
        <v>98</v>
      </c>
      <c r="I460" s="44"/>
      <c r="J460" s="44" t="s">
        <v>125</v>
      </c>
    </row>
    <row r="461" customFormat="false" ht="15" hidden="false" customHeight="false" outlineLevel="0" collapsed="false">
      <c r="B461" s="41" t="s">
        <v>12</v>
      </c>
      <c r="C461" s="42" t="n">
        <v>46220</v>
      </c>
      <c r="D461" s="43" t="n">
        <v>0.34375</v>
      </c>
      <c r="E461" s="41"/>
      <c r="F461" s="41" t="s">
        <v>88</v>
      </c>
      <c r="G461" s="41" t="n">
        <v>1</v>
      </c>
      <c r="H461" s="41" t="s">
        <v>12</v>
      </c>
      <c r="I461" s="44" t="s">
        <v>114</v>
      </c>
      <c r="J461" s="44" t="s">
        <v>115</v>
      </c>
    </row>
    <row r="462" customFormat="false" ht="15" hidden="false" customHeight="false" outlineLevel="0" collapsed="false">
      <c r="B462" s="41" t="s">
        <v>12</v>
      </c>
      <c r="C462" s="42" t="n">
        <v>46220</v>
      </c>
      <c r="D462" s="43" t="n">
        <v>0.416666666666667</v>
      </c>
      <c r="E462" s="41"/>
      <c r="F462" s="41" t="s">
        <v>88</v>
      </c>
      <c r="G462" s="41" t="n">
        <v>2</v>
      </c>
      <c r="H462" s="41" t="s">
        <v>12</v>
      </c>
      <c r="I462" s="44"/>
      <c r="J462" s="44" t="s">
        <v>115</v>
      </c>
    </row>
    <row r="463" customFormat="false" ht="15" hidden="false" customHeight="false" outlineLevel="0" collapsed="false">
      <c r="B463" s="41" t="s">
        <v>12</v>
      </c>
      <c r="C463" s="42" t="n">
        <v>46220</v>
      </c>
      <c r="D463" s="43" t="n">
        <v>0.541666666666667</v>
      </c>
      <c r="E463" s="41"/>
      <c r="F463" s="41" t="s">
        <v>88</v>
      </c>
      <c r="G463" s="41" t="n">
        <v>3</v>
      </c>
      <c r="H463" s="41" t="s">
        <v>113</v>
      </c>
      <c r="I463" s="44"/>
      <c r="J463" s="44" t="s">
        <v>115</v>
      </c>
    </row>
    <row r="464" customFormat="false" ht="15" hidden="false" customHeight="false" outlineLevel="0" collapsed="false">
      <c r="B464" s="41" t="s">
        <v>12</v>
      </c>
      <c r="C464" s="42" t="n">
        <v>46220</v>
      </c>
      <c r="D464" s="43" t="n">
        <v>0.583333333333333</v>
      </c>
      <c r="E464" s="41"/>
      <c r="F464" s="41" t="s">
        <v>88</v>
      </c>
      <c r="G464" s="41" t="n">
        <v>4</v>
      </c>
      <c r="H464" s="41" t="s">
        <v>12</v>
      </c>
      <c r="I464" s="44"/>
      <c r="J464" s="44" t="s">
        <v>115</v>
      </c>
    </row>
    <row r="465" customFormat="false" ht="15" hidden="false" customHeight="false" outlineLevel="0" collapsed="false">
      <c r="B465" s="41" t="s">
        <v>17</v>
      </c>
      <c r="C465" s="42" t="n">
        <v>46221</v>
      </c>
      <c r="D465" s="43" t="n">
        <v>0.458333333333333</v>
      </c>
      <c r="E465" s="41"/>
      <c r="F465" s="41" t="s">
        <v>88</v>
      </c>
      <c r="G465" s="41" t="n">
        <v>1</v>
      </c>
      <c r="H465" s="41" t="s">
        <v>89</v>
      </c>
      <c r="I465" s="44" t="s">
        <v>90</v>
      </c>
      <c r="J465" s="44" t="s">
        <v>91</v>
      </c>
    </row>
    <row r="466" customFormat="false" ht="15" hidden="false" customHeight="false" outlineLevel="0" collapsed="false">
      <c r="B466" s="41" t="s">
        <v>11</v>
      </c>
      <c r="C466" s="42" t="n">
        <v>46221</v>
      </c>
      <c r="D466" s="43" t="n">
        <v>0.416666666666667</v>
      </c>
      <c r="E466" s="41"/>
      <c r="F466" s="41" t="s">
        <v>88</v>
      </c>
      <c r="G466" s="41" t="n">
        <v>1</v>
      </c>
      <c r="H466" s="41" t="s">
        <v>24</v>
      </c>
      <c r="I466" s="44"/>
      <c r="J466" s="44" t="s">
        <v>96</v>
      </c>
    </row>
    <row r="467" customFormat="false" ht="15" hidden="false" customHeight="false" outlineLevel="0" collapsed="false">
      <c r="B467" s="41" t="s">
        <v>11</v>
      </c>
      <c r="C467" s="42" t="n">
        <v>46221</v>
      </c>
      <c r="D467" s="43" t="n">
        <v>0.666666666666667</v>
      </c>
      <c r="E467" s="41"/>
      <c r="F467" s="41" t="s">
        <v>88</v>
      </c>
      <c r="G467" s="41" t="n">
        <v>2</v>
      </c>
      <c r="H467" s="41" t="s">
        <v>24</v>
      </c>
      <c r="I467" s="44"/>
      <c r="J467" s="44" t="s">
        <v>96</v>
      </c>
    </row>
    <row r="468" customFormat="false" ht="15" hidden="false" customHeight="false" outlineLevel="0" collapsed="false">
      <c r="B468" s="41" t="s">
        <v>9</v>
      </c>
      <c r="C468" s="42" t="n">
        <v>46221</v>
      </c>
      <c r="D468" s="43" t="n">
        <v>0.416666666666667</v>
      </c>
      <c r="E468" s="41"/>
      <c r="F468" s="41" t="s">
        <v>88</v>
      </c>
      <c r="G468" s="41" t="n">
        <v>1</v>
      </c>
      <c r="H468" s="41" t="s">
        <v>24</v>
      </c>
      <c r="I468" s="44"/>
      <c r="J468" s="44" t="s">
        <v>100</v>
      </c>
    </row>
    <row r="469" customFormat="false" ht="15" hidden="false" customHeight="false" outlineLevel="0" collapsed="false">
      <c r="B469" s="41" t="s">
        <v>15</v>
      </c>
      <c r="C469" s="42" t="n">
        <v>46221</v>
      </c>
      <c r="D469" s="43" t="n">
        <v>0.416666666666667</v>
      </c>
      <c r="E469" s="41"/>
      <c r="F469" s="41" t="s">
        <v>88</v>
      </c>
      <c r="G469" s="41" t="n">
        <v>1</v>
      </c>
      <c r="H469" s="41" t="s">
        <v>26</v>
      </c>
      <c r="I469" s="44"/>
      <c r="J469" s="44" t="s">
        <v>120</v>
      </c>
    </row>
    <row r="470" customFormat="false" ht="15" hidden="false" customHeight="false" outlineLevel="0" collapsed="false">
      <c r="B470" s="41" t="s">
        <v>8</v>
      </c>
      <c r="C470" s="42" t="n">
        <v>46221</v>
      </c>
      <c r="D470" s="43" t="n">
        <v>0.416666666666667</v>
      </c>
      <c r="E470" s="41"/>
      <c r="F470" s="41" t="s">
        <v>88</v>
      </c>
      <c r="G470" s="41" t="n">
        <v>1</v>
      </c>
      <c r="H470" s="41" t="s">
        <v>24</v>
      </c>
      <c r="I470" s="44"/>
      <c r="J470" s="44" t="s">
        <v>107</v>
      </c>
    </row>
    <row r="471" customFormat="false" ht="15" hidden="false" customHeight="false" outlineLevel="0" collapsed="false">
      <c r="B471" s="41" t="s">
        <v>8</v>
      </c>
      <c r="C471" s="42" t="n">
        <v>46221</v>
      </c>
      <c r="D471" s="43" t="n">
        <v>0.666666666666667</v>
      </c>
      <c r="E471" s="41"/>
      <c r="F471" s="41" t="s">
        <v>88</v>
      </c>
      <c r="G471" s="41" t="n">
        <v>2</v>
      </c>
      <c r="H471" s="41" t="s">
        <v>24</v>
      </c>
      <c r="I471" s="44"/>
      <c r="J471" s="44" t="s">
        <v>107</v>
      </c>
    </row>
    <row r="472" customFormat="false" ht="15" hidden="false" customHeight="false" outlineLevel="0" collapsed="false">
      <c r="B472" s="41" t="s">
        <v>10</v>
      </c>
      <c r="C472" s="42" t="n">
        <v>46221</v>
      </c>
      <c r="D472" s="43" t="n">
        <v>0.416666666666667</v>
      </c>
      <c r="E472" s="41"/>
      <c r="F472" s="41" t="s">
        <v>88</v>
      </c>
      <c r="G472" s="41" t="n">
        <v>1</v>
      </c>
      <c r="H472" s="41" t="s">
        <v>24</v>
      </c>
      <c r="I472" s="44"/>
      <c r="J472" s="44" t="s">
        <v>125</v>
      </c>
    </row>
    <row r="473" customFormat="false" ht="15" hidden="false" customHeight="false" outlineLevel="0" collapsed="false">
      <c r="B473" s="41" t="s">
        <v>11</v>
      </c>
      <c r="C473" s="42" t="n">
        <v>46222</v>
      </c>
      <c r="D473" s="43" t="n">
        <v>0.666666666666667</v>
      </c>
      <c r="E473" s="41"/>
      <c r="F473" s="41" t="s">
        <v>88</v>
      </c>
      <c r="G473" s="41" t="n">
        <v>1</v>
      </c>
      <c r="H473" s="41" t="s">
        <v>24</v>
      </c>
      <c r="I473" s="44"/>
      <c r="J473" s="44" t="s">
        <v>96</v>
      </c>
    </row>
    <row r="474" customFormat="false" ht="15" hidden="false" customHeight="false" outlineLevel="0" collapsed="false">
      <c r="B474" s="41" t="s">
        <v>8</v>
      </c>
      <c r="C474" s="42" t="n">
        <v>46222</v>
      </c>
      <c r="D474" s="43" t="n">
        <v>0.666666666666667</v>
      </c>
      <c r="E474" s="41"/>
      <c r="F474" s="41" t="s">
        <v>88</v>
      </c>
      <c r="G474" s="41" t="n">
        <v>1</v>
      </c>
      <c r="H474" s="41" t="s">
        <v>24</v>
      </c>
      <c r="I474" s="44"/>
      <c r="J474" s="44" t="s">
        <v>107</v>
      </c>
    </row>
    <row r="475" customFormat="false" ht="15" hidden="false" customHeight="false" outlineLevel="0" collapsed="false">
      <c r="B475" s="41" t="s">
        <v>17</v>
      </c>
      <c r="C475" s="42" t="n">
        <v>46223</v>
      </c>
      <c r="D475" s="43" t="n">
        <v>0.458333333333333</v>
      </c>
      <c r="E475" s="41"/>
      <c r="F475" s="41" t="s">
        <v>88</v>
      </c>
      <c r="G475" s="41" t="n">
        <v>1</v>
      </c>
      <c r="H475" s="41" t="s">
        <v>89</v>
      </c>
      <c r="I475" s="44" t="s">
        <v>122</v>
      </c>
      <c r="J475" s="44" t="s">
        <v>91</v>
      </c>
    </row>
    <row r="476" customFormat="false" ht="15" hidden="false" customHeight="false" outlineLevel="0" collapsed="false">
      <c r="B476" s="41" t="s">
        <v>17</v>
      </c>
      <c r="C476" s="42" t="n">
        <v>46223</v>
      </c>
      <c r="D476" s="43" t="n">
        <v>0.625</v>
      </c>
      <c r="E476" s="41" t="s">
        <v>92</v>
      </c>
      <c r="F476" s="41" t="s">
        <v>88</v>
      </c>
      <c r="G476" s="41" t="n">
        <v>2</v>
      </c>
      <c r="H476" s="41"/>
      <c r="I476" s="44" t="s">
        <v>122</v>
      </c>
      <c r="J476" s="44" t="s">
        <v>91</v>
      </c>
    </row>
    <row r="477" customFormat="false" ht="15" hidden="false" customHeight="false" outlineLevel="0" collapsed="false">
      <c r="B477" s="41" t="s">
        <v>11</v>
      </c>
      <c r="C477" s="42" t="n">
        <v>46223</v>
      </c>
      <c r="D477" s="43" t="n">
        <v>0.385416666666667</v>
      </c>
      <c r="E477" s="41" t="s">
        <v>102</v>
      </c>
      <c r="F477" s="41" t="s">
        <v>88</v>
      </c>
      <c r="G477" s="41" t="n">
        <v>1</v>
      </c>
      <c r="H477" s="41" t="s">
        <v>94</v>
      </c>
      <c r="I477" s="44" t="s">
        <v>95</v>
      </c>
      <c r="J477" s="44" t="s">
        <v>96</v>
      </c>
    </row>
    <row r="478" customFormat="false" ht="15" hidden="false" customHeight="false" outlineLevel="0" collapsed="false">
      <c r="B478" s="41" t="s">
        <v>11</v>
      </c>
      <c r="C478" s="42" t="n">
        <v>46223</v>
      </c>
      <c r="D478" s="43" t="n">
        <v>0.458333333333333</v>
      </c>
      <c r="E478" s="41" t="s">
        <v>109</v>
      </c>
      <c r="F478" s="41" t="s">
        <v>88</v>
      </c>
      <c r="G478" s="41" t="n">
        <v>2</v>
      </c>
      <c r="H478" s="41" t="s">
        <v>94</v>
      </c>
      <c r="I478" s="44"/>
      <c r="J478" s="44" t="s">
        <v>96</v>
      </c>
    </row>
    <row r="479" customFormat="false" ht="15" hidden="false" customHeight="false" outlineLevel="0" collapsed="false">
      <c r="B479" s="41" t="s">
        <v>11</v>
      </c>
      <c r="C479" s="42" t="n">
        <v>46223</v>
      </c>
      <c r="D479" s="43" t="n">
        <v>0.583333333333333</v>
      </c>
      <c r="E479" s="41"/>
      <c r="F479" s="41" t="s">
        <v>88</v>
      </c>
      <c r="G479" s="41" t="n">
        <v>3</v>
      </c>
      <c r="H479" s="41" t="s">
        <v>23</v>
      </c>
      <c r="I479" s="44"/>
      <c r="J479" s="44" t="s">
        <v>96</v>
      </c>
    </row>
    <row r="480" customFormat="false" ht="15" hidden="false" customHeight="false" outlineLevel="0" collapsed="false">
      <c r="B480" s="41" t="s">
        <v>11</v>
      </c>
      <c r="C480" s="42" t="n">
        <v>46223</v>
      </c>
      <c r="D480" s="43" t="n">
        <v>0.708333333333333</v>
      </c>
      <c r="E480" s="41"/>
      <c r="F480" s="41" t="s">
        <v>88</v>
      </c>
      <c r="G480" s="41" t="n">
        <v>4</v>
      </c>
      <c r="H480" s="41" t="s">
        <v>24</v>
      </c>
      <c r="I480" s="44"/>
      <c r="J480" s="44" t="s">
        <v>96</v>
      </c>
    </row>
    <row r="481" customFormat="false" ht="15" hidden="false" customHeight="false" outlineLevel="0" collapsed="false">
      <c r="B481" s="41" t="s">
        <v>11</v>
      </c>
      <c r="C481" s="42" t="n">
        <v>46223</v>
      </c>
      <c r="D481" s="43" t="n">
        <v>0.833333333333333</v>
      </c>
      <c r="E481" s="41"/>
      <c r="F481" s="41" t="s">
        <v>88</v>
      </c>
      <c r="G481" s="41" t="n">
        <v>5</v>
      </c>
      <c r="H481" s="41" t="s">
        <v>98</v>
      </c>
      <c r="I481" s="44"/>
      <c r="J481" s="44" t="s">
        <v>96</v>
      </c>
    </row>
    <row r="482" customFormat="false" ht="15" hidden="false" customHeight="false" outlineLevel="0" collapsed="false">
      <c r="B482" s="41" t="s">
        <v>9</v>
      </c>
      <c r="C482" s="42" t="n">
        <v>46223</v>
      </c>
      <c r="D482" s="43" t="n">
        <v>0.416666666666667</v>
      </c>
      <c r="E482" s="41" t="s">
        <v>99</v>
      </c>
      <c r="F482" s="41" t="s">
        <v>88</v>
      </c>
      <c r="G482" s="41" t="n">
        <v>1</v>
      </c>
      <c r="H482" s="41" t="s">
        <v>94</v>
      </c>
      <c r="I482" s="44"/>
      <c r="J482" s="44" t="s">
        <v>100</v>
      </c>
    </row>
    <row r="483" customFormat="false" ht="15" hidden="false" customHeight="false" outlineLevel="0" collapsed="false">
      <c r="B483" s="41" t="s">
        <v>9</v>
      </c>
      <c r="C483" s="42" t="n">
        <v>46223</v>
      </c>
      <c r="D483" s="43" t="n">
        <v>0.479166666666667</v>
      </c>
      <c r="E483" s="41" t="s">
        <v>101</v>
      </c>
      <c r="F483" s="41" t="s">
        <v>88</v>
      </c>
      <c r="G483" s="41" t="n">
        <v>2</v>
      </c>
      <c r="H483" s="41" t="s">
        <v>94</v>
      </c>
      <c r="I483" s="44"/>
      <c r="J483" s="44" t="s">
        <v>100</v>
      </c>
    </row>
    <row r="484" customFormat="false" ht="15" hidden="false" customHeight="false" outlineLevel="0" collapsed="false">
      <c r="B484" s="41" t="s">
        <v>9</v>
      </c>
      <c r="C484" s="42" t="n">
        <v>46223</v>
      </c>
      <c r="D484" s="43" t="n">
        <v>0.541666666666667</v>
      </c>
      <c r="E484" s="41"/>
      <c r="F484" s="41" t="s">
        <v>88</v>
      </c>
      <c r="G484" s="41" t="n">
        <v>3</v>
      </c>
      <c r="H484" s="41" t="s">
        <v>23</v>
      </c>
      <c r="I484" s="44"/>
      <c r="J484" s="44" t="s">
        <v>100</v>
      </c>
    </row>
    <row r="485" customFormat="false" ht="15" hidden="false" customHeight="false" outlineLevel="0" collapsed="false">
      <c r="B485" s="41" t="s">
        <v>9</v>
      </c>
      <c r="C485" s="42" t="n">
        <v>46223</v>
      </c>
      <c r="D485" s="43" t="n">
        <v>0.708333333333333</v>
      </c>
      <c r="E485" s="41"/>
      <c r="F485" s="41" t="s">
        <v>88</v>
      </c>
      <c r="G485" s="41" t="n">
        <v>4</v>
      </c>
      <c r="H485" s="41" t="s">
        <v>24</v>
      </c>
      <c r="I485" s="44"/>
      <c r="J485" s="44" t="s">
        <v>100</v>
      </c>
    </row>
    <row r="486" customFormat="false" ht="15" hidden="false" customHeight="false" outlineLevel="0" collapsed="false">
      <c r="B486" s="41" t="s">
        <v>9</v>
      </c>
      <c r="C486" s="42" t="n">
        <v>46223</v>
      </c>
      <c r="D486" s="43" t="n">
        <v>0.833333333333333</v>
      </c>
      <c r="E486" s="41"/>
      <c r="F486" s="41" t="s">
        <v>88</v>
      </c>
      <c r="G486" s="41" t="n">
        <v>5</v>
      </c>
      <c r="H486" s="41" t="s">
        <v>98</v>
      </c>
      <c r="I486" s="44"/>
      <c r="J486" s="44" t="s">
        <v>100</v>
      </c>
    </row>
    <row r="487" customFormat="false" ht="15" hidden="false" customHeight="false" outlineLevel="0" collapsed="false">
      <c r="B487" s="41" t="s">
        <v>14</v>
      </c>
      <c r="C487" s="42" t="n">
        <v>46223</v>
      </c>
      <c r="D487" s="43" t="n">
        <v>0.375</v>
      </c>
      <c r="E487" s="41"/>
      <c r="F487" s="41" t="s">
        <v>88</v>
      </c>
      <c r="G487" s="41" t="n">
        <v>1</v>
      </c>
      <c r="H487" s="41" t="s">
        <v>123</v>
      </c>
      <c r="I487" s="44"/>
      <c r="J487" s="44" t="s">
        <v>104</v>
      </c>
    </row>
    <row r="488" customFormat="false" ht="15" hidden="false" customHeight="false" outlineLevel="0" collapsed="false">
      <c r="B488" s="41" t="s">
        <v>14</v>
      </c>
      <c r="C488" s="42" t="n">
        <v>46223</v>
      </c>
      <c r="D488" s="43" t="n">
        <v>0.458333333333333</v>
      </c>
      <c r="E488" s="41"/>
      <c r="F488" s="41" t="s">
        <v>88</v>
      </c>
      <c r="G488" s="41" t="n">
        <v>2</v>
      </c>
      <c r="H488" s="41" t="s">
        <v>124</v>
      </c>
      <c r="I488" s="44"/>
      <c r="J488" s="44" t="s">
        <v>104</v>
      </c>
    </row>
    <row r="489" customFormat="false" ht="15" hidden="false" customHeight="false" outlineLevel="0" collapsed="false">
      <c r="B489" s="41" t="s">
        <v>14</v>
      </c>
      <c r="C489" s="42" t="n">
        <v>46223</v>
      </c>
      <c r="D489" s="43" t="n">
        <v>0.520833333333333</v>
      </c>
      <c r="E489" s="41" t="s">
        <v>102</v>
      </c>
      <c r="F489" s="41" t="s">
        <v>88</v>
      </c>
      <c r="G489" s="41" t="n">
        <v>3</v>
      </c>
      <c r="H489" s="41" t="s">
        <v>103</v>
      </c>
      <c r="I489" s="44"/>
      <c r="J489" s="44" t="s">
        <v>104</v>
      </c>
    </row>
    <row r="490" customFormat="false" ht="15" hidden="false" customHeight="false" outlineLevel="0" collapsed="false">
      <c r="B490" s="41" t="s">
        <v>15</v>
      </c>
      <c r="C490" s="42" t="n">
        <v>46223</v>
      </c>
      <c r="D490" s="43" t="n">
        <v>0.75</v>
      </c>
      <c r="E490" s="41"/>
      <c r="F490" s="41" t="s">
        <v>88</v>
      </c>
      <c r="G490" s="41" t="n">
        <v>1</v>
      </c>
      <c r="H490" s="41" t="s">
        <v>26</v>
      </c>
      <c r="I490" s="44"/>
      <c r="J490" s="44" t="s">
        <v>120</v>
      </c>
    </row>
    <row r="491" customFormat="false" ht="15" hidden="false" customHeight="false" outlineLevel="0" collapsed="false">
      <c r="B491" s="41" t="s">
        <v>16</v>
      </c>
      <c r="C491" s="42" t="n">
        <v>46223</v>
      </c>
      <c r="D491" s="43" t="n">
        <v>0.333333333333333</v>
      </c>
      <c r="E491" s="41"/>
      <c r="F491" s="41" t="s">
        <v>88</v>
      </c>
      <c r="G491" s="41" t="n">
        <v>1</v>
      </c>
      <c r="H491" s="41"/>
      <c r="I491" s="44"/>
      <c r="J491" s="44" t="s">
        <v>105</v>
      </c>
    </row>
    <row r="492" customFormat="false" ht="15" hidden="false" customHeight="false" outlineLevel="0" collapsed="false">
      <c r="B492" s="41" t="s">
        <v>16</v>
      </c>
      <c r="C492" s="42" t="n">
        <v>46223</v>
      </c>
      <c r="D492" s="43" t="n">
        <v>0.5</v>
      </c>
      <c r="E492" s="41"/>
      <c r="F492" s="41" t="s">
        <v>88</v>
      </c>
      <c r="G492" s="41" t="n">
        <v>2</v>
      </c>
      <c r="H492" s="41"/>
      <c r="I492" s="44"/>
      <c r="J492" s="44" t="s">
        <v>105</v>
      </c>
    </row>
    <row r="493" customFormat="false" ht="15" hidden="false" customHeight="false" outlineLevel="0" collapsed="false">
      <c r="B493" s="41" t="s">
        <v>16</v>
      </c>
      <c r="C493" s="42" t="n">
        <v>46223</v>
      </c>
      <c r="D493" s="43" t="n">
        <v>0.583333333333333</v>
      </c>
      <c r="E493" s="41"/>
      <c r="F493" s="41" t="s">
        <v>88</v>
      </c>
      <c r="G493" s="41" t="n">
        <v>3</v>
      </c>
      <c r="H493" s="41" t="s">
        <v>106</v>
      </c>
      <c r="I493" s="44"/>
      <c r="J493" s="44" t="s">
        <v>105</v>
      </c>
    </row>
    <row r="494" customFormat="false" ht="15" hidden="false" customHeight="false" outlineLevel="0" collapsed="false">
      <c r="B494" s="41" t="s">
        <v>16</v>
      </c>
      <c r="C494" s="42" t="n">
        <v>46223</v>
      </c>
      <c r="D494" s="43" t="n">
        <v>0.666666666666667</v>
      </c>
      <c r="E494" s="41"/>
      <c r="F494" s="41" t="s">
        <v>88</v>
      </c>
      <c r="G494" s="41" t="n">
        <v>4</v>
      </c>
      <c r="H494" s="41" t="s">
        <v>106</v>
      </c>
      <c r="I494" s="44"/>
      <c r="J494" s="44" t="s">
        <v>105</v>
      </c>
    </row>
    <row r="495" customFormat="false" ht="15" hidden="false" customHeight="false" outlineLevel="0" collapsed="false">
      <c r="B495" s="41" t="s">
        <v>16</v>
      </c>
      <c r="C495" s="42" t="n">
        <v>46223</v>
      </c>
      <c r="D495" s="43" t="n">
        <v>0.75</v>
      </c>
      <c r="E495" s="41"/>
      <c r="F495" s="41" t="s">
        <v>88</v>
      </c>
      <c r="G495" s="41" t="n">
        <v>5</v>
      </c>
      <c r="H495" s="41" t="s">
        <v>106</v>
      </c>
      <c r="I495" s="44"/>
      <c r="J495" s="44" t="s">
        <v>105</v>
      </c>
    </row>
    <row r="496" customFormat="false" ht="15" hidden="false" customHeight="false" outlineLevel="0" collapsed="false">
      <c r="B496" s="41" t="s">
        <v>8</v>
      </c>
      <c r="C496" s="42" t="n">
        <v>46223</v>
      </c>
      <c r="D496" s="43" t="n">
        <v>0.34375</v>
      </c>
      <c r="E496" s="41" t="s">
        <v>93</v>
      </c>
      <c r="F496" s="41" t="s">
        <v>88</v>
      </c>
      <c r="G496" s="41" t="n">
        <v>1</v>
      </c>
      <c r="H496" s="41" t="s">
        <v>94</v>
      </c>
      <c r="I496" s="44"/>
      <c r="J496" s="44" t="s">
        <v>107</v>
      </c>
    </row>
    <row r="497" customFormat="false" ht="15" hidden="false" customHeight="false" outlineLevel="0" collapsed="false">
      <c r="B497" s="41" t="s">
        <v>8</v>
      </c>
      <c r="C497" s="42" t="n">
        <v>46223</v>
      </c>
      <c r="D497" s="43" t="n">
        <v>0.385416666666667</v>
      </c>
      <c r="E497" s="41" t="s">
        <v>108</v>
      </c>
      <c r="F497" s="41" t="s">
        <v>88</v>
      </c>
      <c r="G497" s="41" t="n">
        <v>2</v>
      </c>
      <c r="H497" s="41" t="s">
        <v>94</v>
      </c>
      <c r="I497" s="44"/>
      <c r="J497" s="44" t="s">
        <v>107</v>
      </c>
    </row>
    <row r="498" customFormat="false" ht="15" hidden="false" customHeight="false" outlineLevel="0" collapsed="false">
      <c r="B498" s="41" t="s">
        <v>8</v>
      </c>
      <c r="C498" s="42" t="n">
        <v>46223</v>
      </c>
      <c r="D498" s="43" t="n">
        <v>0.479166666666667</v>
      </c>
      <c r="E498" s="41" t="s">
        <v>109</v>
      </c>
      <c r="F498" s="41" t="s">
        <v>88</v>
      </c>
      <c r="G498" s="41" t="n">
        <v>3</v>
      </c>
      <c r="H498" s="41" t="s">
        <v>94</v>
      </c>
      <c r="I498" s="44"/>
      <c r="J498" s="44" t="s">
        <v>107</v>
      </c>
    </row>
    <row r="499" customFormat="false" ht="15" hidden="false" customHeight="false" outlineLevel="0" collapsed="false">
      <c r="B499" s="41" t="s">
        <v>8</v>
      </c>
      <c r="C499" s="42" t="n">
        <v>46223</v>
      </c>
      <c r="D499" s="43" t="n">
        <v>0.520833333333333</v>
      </c>
      <c r="E499" s="41"/>
      <c r="F499" s="41" t="s">
        <v>88</v>
      </c>
      <c r="G499" s="41" t="n">
        <v>4</v>
      </c>
      <c r="H499" s="41" t="s">
        <v>22</v>
      </c>
      <c r="I499" s="44"/>
      <c r="J499" s="44" t="s">
        <v>107</v>
      </c>
    </row>
    <row r="500" customFormat="false" ht="15" hidden="false" customHeight="false" outlineLevel="0" collapsed="false">
      <c r="B500" s="41" t="s">
        <v>8</v>
      </c>
      <c r="C500" s="42" t="n">
        <v>46223</v>
      </c>
      <c r="D500" s="43" t="n">
        <v>0.604166666666667</v>
      </c>
      <c r="E500" s="41"/>
      <c r="F500" s="41" t="s">
        <v>88</v>
      </c>
      <c r="G500" s="41" t="n">
        <v>5</v>
      </c>
      <c r="H500" s="41" t="s">
        <v>23</v>
      </c>
      <c r="I500" s="44"/>
      <c r="J500" s="44" t="s">
        <v>107</v>
      </c>
    </row>
    <row r="501" customFormat="false" ht="15" hidden="false" customHeight="false" outlineLevel="0" collapsed="false">
      <c r="B501" s="41" t="s">
        <v>8</v>
      </c>
      <c r="C501" s="42" t="n">
        <v>46223</v>
      </c>
      <c r="D501" s="43" t="n">
        <v>0.708333333333333</v>
      </c>
      <c r="E501" s="41"/>
      <c r="F501" s="41" t="s">
        <v>88</v>
      </c>
      <c r="G501" s="41" t="n">
        <v>6</v>
      </c>
      <c r="H501" s="41" t="s">
        <v>24</v>
      </c>
      <c r="I501" s="44"/>
      <c r="J501" s="44" t="s">
        <v>107</v>
      </c>
    </row>
    <row r="502" customFormat="false" ht="15" hidden="false" customHeight="false" outlineLevel="0" collapsed="false">
      <c r="B502" s="41" t="s">
        <v>8</v>
      </c>
      <c r="C502" s="42" t="n">
        <v>46223</v>
      </c>
      <c r="D502" s="43" t="n">
        <v>0.833333333333333</v>
      </c>
      <c r="E502" s="41"/>
      <c r="F502" s="41" t="s">
        <v>88</v>
      </c>
      <c r="G502" s="41" t="n">
        <v>7</v>
      </c>
      <c r="H502" s="41" t="s">
        <v>98</v>
      </c>
      <c r="I502" s="44"/>
      <c r="J502" s="44" t="s">
        <v>107</v>
      </c>
    </row>
    <row r="503" customFormat="false" ht="15" hidden="false" customHeight="false" outlineLevel="0" collapsed="false">
      <c r="B503" s="41" t="s">
        <v>10</v>
      </c>
      <c r="C503" s="42" t="n">
        <v>46223</v>
      </c>
      <c r="D503" s="43" t="n">
        <v>0.375</v>
      </c>
      <c r="E503" s="41" t="s">
        <v>102</v>
      </c>
      <c r="F503" s="41" t="s">
        <v>88</v>
      </c>
      <c r="G503" s="41" t="n">
        <v>1</v>
      </c>
      <c r="H503" s="41" t="s">
        <v>94</v>
      </c>
      <c r="I503" s="44"/>
      <c r="J503" s="44" t="s">
        <v>125</v>
      </c>
    </row>
    <row r="504" customFormat="false" ht="15" hidden="false" customHeight="false" outlineLevel="0" collapsed="false">
      <c r="B504" s="41" t="s">
        <v>10</v>
      </c>
      <c r="C504" s="42" t="n">
        <v>46223</v>
      </c>
      <c r="D504" s="43" t="n">
        <v>0.46875</v>
      </c>
      <c r="E504" s="41" t="s">
        <v>109</v>
      </c>
      <c r="F504" s="41" t="s">
        <v>88</v>
      </c>
      <c r="G504" s="41" t="n">
        <v>2</v>
      </c>
      <c r="H504" s="41" t="s">
        <v>94</v>
      </c>
      <c r="I504" s="44"/>
      <c r="J504" s="44" t="s">
        <v>125</v>
      </c>
    </row>
    <row r="505" customFormat="false" ht="15" hidden="false" customHeight="false" outlineLevel="0" collapsed="false">
      <c r="B505" s="41" t="s">
        <v>10</v>
      </c>
      <c r="C505" s="42" t="n">
        <v>46223</v>
      </c>
      <c r="D505" s="43" t="n">
        <v>0.541666666666667</v>
      </c>
      <c r="E505" s="41"/>
      <c r="F505" s="41" t="s">
        <v>88</v>
      </c>
      <c r="G505" s="41" t="n">
        <v>3</v>
      </c>
      <c r="H505" s="41" t="s">
        <v>23</v>
      </c>
      <c r="I505" s="44"/>
      <c r="J505" s="44" t="s">
        <v>125</v>
      </c>
    </row>
    <row r="506" customFormat="false" ht="15" hidden="false" customHeight="false" outlineLevel="0" collapsed="false">
      <c r="B506" s="41" t="s">
        <v>10</v>
      </c>
      <c r="C506" s="42" t="n">
        <v>46223</v>
      </c>
      <c r="D506" s="43" t="n">
        <v>0.708333333333333</v>
      </c>
      <c r="E506" s="41"/>
      <c r="F506" s="41" t="s">
        <v>88</v>
      </c>
      <c r="G506" s="41" t="n">
        <v>4</v>
      </c>
      <c r="H506" s="41" t="s">
        <v>24</v>
      </c>
      <c r="I506" s="44"/>
      <c r="J506" s="44" t="s">
        <v>125</v>
      </c>
    </row>
    <row r="507" customFormat="false" ht="15" hidden="false" customHeight="false" outlineLevel="0" collapsed="false">
      <c r="B507" s="41" t="s">
        <v>10</v>
      </c>
      <c r="C507" s="42" t="n">
        <v>46223</v>
      </c>
      <c r="D507" s="43" t="n">
        <v>0.833333333333333</v>
      </c>
      <c r="E507" s="41"/>
      <c r="F507" s="41" t="s">
        <v>88</v>
      </c>
      <c r="G507" s="41" t="n">
        <v>5</v>
      </c>
      <c r="H507" s="41" t="s">
        <v>98</v>
      </c>
      <c r="I507" s="44"/>
      <c r="J507" s="44" t="s">
        <v>125</v>
      </c>
    </row>
    <row r="508" customFormat="false" ht="15" hidden="false" customHeight="false" outlineLevel="0" collapsed="false">
      <c r="B508" s="41" t="s">
        <v>12</v>
      </c>
      <c r="C508" s="42" t="n">
        <v>46223</v>
      </c>
      <c r="D508" s="43" t="n">
        <v>0.34375</v>
      </c>
      <c r="E508" s="41"/>
      <c r="F508" s="41" t="s">
        <v>88</v>
      </c>
      <c r="G508" s="41" t="n">
        <v>1</v>
      </c>
      <c r="H508" s="41" t="s">
        <v>12</v>
      </c>
      <c r="I508" s="44" t="s">
        <v>114</v>
      </c>
      <c r="J508" s="44" t="s">
        <v>115</v>
      </c>
    </row>
    <row r="509" customFormat="false" ht="15" hidden="false" customHeight="false" outlineLevel="0" collapsed="false">
      <c r="B509" s="41" t="s">
        <v>12</v>
      </c>
      <c r="C509" s="42" t="n">
        <v>46223</v>
      </c>
      <c r="D509" s="43" t="n">
        <v>0.416666666666667</v>
      </c>
      <c r="E509" s="41"/>
      <c r="F509" s="41" t="s">
        <v>88</v>
      </c>
      <c r="G509" s="41" t="n">
        <v>2</v>
      </c>
      <c r="H509" s="41" t="s">
        <v>113</v>
      </c>
      <c r="I509" s="44"/>
      <c r="J509" s="44" t="s">
        <v>115</v>
      </c>
    </row>
    <row r="510" customFormat="false" ht="15" hidden="false" customHeight="false" outlineLevel="0" collapsed="false">
      <c r="B510" s="41" t="s">
        <v>12</v>
      </c>
      <c r="C510" s="42" t="n">
        <v>46223</v>
      </c>
      <c r="D510" s="43" t="n">
        <v>0.541666666666667</v>
      </c>
      <c r="E510" s="41"/>
      <c r="F510" s="41" t="s">
        <v>88</v>
      </c>
      <c r="G510" s="41" t="n">
        <v>3</v>
      </c>
      <c r="H510" s="41" t="s">
        <v>12</v>
      </c>
      <c r="I510" s="44"/>
      <c r="J510" s="44" t="s">
        <v>115</v>
      </c>
    </row>
    <row r="511" customFormat="false" ht="15" hidden="false" customHeight="false" outlineLevel="0" collapsed="false">
      <c r="B511" s="41" t="s">
        <v>17</v>
      </c>
      <c r="C511" s="42" t="n">
        <v>46224</v>
      </c>
      <c r="D511" s="43" t="n">
        <v>0.416666666666667</v>
      </c>
      <c r="E511" s="41"/>
      <c r="F511" s="41" t="s">
        <v>88</v>
      </c>
      <c r="G511" s="41" t="n">
        <v>1</v>
      </c>
      <c r="H511" s="41" t="s">
        <v>89</v>
      </c>
      <c r="I511" s="44" t="s">
        <v>116</v>
      </c>
      <c r="J511" s="44" t="s">
        <v>91</v>
      </c>
    </row>
    <row r="512" customFormat="false" ht="15" hidden="false" customHeight="false" outlineLevel="0" collapsed="false">
      <c r="B512" s="41" t="s">
        <v>17</v>
      </c>
      <c r="C512" s="42" t="n">
        <v>46224</v>
      </c>
      <c r="D512" s="43" t="n">
        <v>0.625</v>
      </c>
      <c r="E512" s="41" t="s">
        <v>92</v>
      </c>
      <c r="F512" s="41" t="s">
        <v>88</v>
      </c>
      <c r="G512" s="41" t="n">
        <v>2</v>
      </c>
      <c r="H512" s="41"/>
      <c r="I512" s="44" t="s">
        <v>116</v>
      </c>
      <c r="J512" s="44" t="s">
        <v>91</v>
      </c>
    </row>
    <row r="513" customFormat="false" ht="15" hidden="false" customHeight="false" outlineLevel="0" collapsed="false">
      <c r="B513" s="41" t="s">
        <v>11</v>
      </c>
      <c r="C513" s="42" t="n">
        <v>46224</v>
      </c>
      <c r="D513" s="43" t="n">
        <v>0.34375</v>
      </c>
      <c r="E513" s="41" t="s">
        <v>93</v>
      </c>
      <c r="F513" s="41" t="s">
        <v>88</v>
      </c>
      <c r="G513" s="41" t="n">
        <v>1</v>
      </c>
      <c r="H513" s="41"/>
      <c r="I513" s="44" t="s">
        <v>95</v>
      </c>
      <c r="J513" s="44" t="s">
        <v>96</v>
      </c>
    </row>
    <row r="514" customFormat="false" ht="15" hidden="false" customHeight="false" outlineLevel="0" collapsed="false">
      <c r="B514" s="41" t="s">
        <v>11</v>
      </c>
      <c r="C514" s="42" t="n">
        <v>46224</v>
      </c>
      <c r="D514" s="43" t="n">
        <v>0.458333333333333</v>
      </c>
      <c r="E514" s="41" t="s">
        <v>97</v>
      </c>
      <c r="F514" s="41" t="s">
        <v>88</v>
      </c>
      <c r="G514" s="41" t="n">
        <v>2</v>
      </c>
      <c r="H514" s="41"/>
      <c r="I514" s="44"/>
      <c r="J514" s="44" t="s">
        <v>96</v>
      </c>
    </row>
    <row r="515" customFormat="false" ht="15" hidden="false" customHeight="false" outlineLevel="0" collapsed="false">
      <c r="B515" s="41" t="s">
        <v>11</v>
      </c>
      <c r="C515" s="42" t="n">
        <v>46224</v>
      </c>
      <c r="D515" s="43" t="n">
        <v>0.5625</v>
      </c>
      <c r="E515" s="41"/>
      <c r="F515" s="41" t="s">
        <v>88</v>
      </c>
      <c r="G515" s="41" t="n">
        <v>3</v>
      </c>
      <c r="H515" s="41" t="s">
        <v>23</v>
      </c>
      <c r="I515" s="44"/>
      <c r="J515" s="44" t="s">
        <v>96</v>
      </c>
    </row>
    <row r="516" customFormat="false" ht="15" hidden="false" customHeight="false" outlineLevel="0" collapsed="false">
      <c r="B516" s="41" t="s">
        <v>11</v>
      </c>
      <c r="C516" s="42" t="n">
        <v>46224</v>
      </c>
      <c r="D516" s="43" t="n">
        <v>0.604166666666667</v>
      </c>
      <c r="E516" s="41" t="s">
        <v>92</v>
      </c>
      <c r="F516" s="41" t="s">
        <v>88</v>
      </c>
      <c r="G516" s="41" t="n">
        <v>4</v>
      </c>
      <c r="H516" s="41"/>
      <c r="I516" s="44"/>
      <c r="J516" s="44" t="s">
        <v>96</v>
      </c>
    </row>
    <row r="517" customFormat="false" ht="15" hidden="false" customHeight="false" outlineLevel="0" collapsed="false">
      <c r="B517" s="41" t="s">
        <v>11</v>
      </c>
      <c r="C517" s="42" t="n">
        <v>46224</v>
      </c>
      <c r="D517" s="43" t="n">
        <v>0.666666666666667</v>
      </c>
      <c r="E517" s="41" t="s">
        <v>92</v>
      </c>
      <c r="F517" s="41" t="s">
        <v>88</v>
      </c>
      <c r="G517" s="41" t="n">
        <v>5</v>
      </c>
      <c r="H517" s="41"/>
      <c r="I517" s="44"/>
      <c r="J517" s="44" t="s">
        <v>96</v>
      </c>
    </row>
    <row r="518" customFormat="false" ht="15" hidden="false" customHeight="false" outlineLevel="0" collapsed="false">
      <c r="B518" s="41" t="s">
        <v>11</v>
      </c>
      <c r="C518" s="42" t="n">
        <v>46224</v>
      </c>
      <c r="D518" s="43" t="n">
        <v>0.833333333333333</v>
      </c>
      <c r="E518" s="41"/>
      <c r="F518" s="41" t="s">
        <v>88</v>
      </c>
      <c r="G518" s="41" t="n">
        <v>6</v>
      </c>
      <c r="H518" s="41" t="s">
        <v>98</v>
      </c>
      <c r="I518" s="44"/>
      <c r="J518" s="44" t="s">
        <v>96</v>
      </c>
    </row>
    <row r="519" customFormat="false" ht="15" hidden="false" customHeight="false" outlineLevel="0" collapsed="false">
      <c r="B519" s="41" t="s">
        <v>9</v>
      </c>
      <c r="C519" s="42" t="n">
        <v>46224</v>
      </c>
      <c r="D519" s="43" t="n">
        <v>0.34375</v>
      </c>
      <c r="E519" s="41" t="s">
        <v>93</v>
      </c>
      <c r="F519" s="41" t="s">
        <v>88</v>
      </c>
      <c r="G519" s="41" t="n">
        <v>1</v>
      </c>
      <c r="H519" s="41"/>
      <c r="I519" s="44"/>
      <c r="J519" s="44" t="s">
        <v>100</v>
      </c>
    </row>
    <row r="520" customFormat="false" ht="15" hidden="false" customHeight="false" outlineLevel="0" collapsed="false">
      <c r="B520" s="41" t="s">
        <v>9</v>
      </c>
      <c r="C520" s="42" t="n">
        <v>46224</v>
      </c>
      <c r="D520" s="43" t="n">
        <v>0.385416666666667</v>
      </c>
      <c r="E520" s="41" t="s">
        <v>108</v>
      </c>
      <c r="F520" s="41" t="s">
        <v>88</v>
      </c>
      <c r="G520" s="41" t="n">
        <v>2</v>
      </c>
      <c r="H520" s="41"/>
      <c r="I520" s="44"/>
      <c r="J520" s="44" t="s">
        <v>100</v>
      </c>
    </row>
    <row r="521" customFormat="false" ht="15" hidden="false" customHeight="false" outlineLevel="0" collapsed="false">
      <c r="B521" s="41" t="s">
        <v>9</v>
      </c>
      <c r="C521" s="42" t="n">
        <v>46224</v>
      </c>
      <c r="D521" s="43" t="n">
        <v>0.479166666666667</v>
      </c>
      <c r="E521" s="41" t="s">
        <v>109</v>
      </c>
      <c r="F521" s="41" t="s">
        <v>88</v>
      </c>
      <c r="G521" s="41" t="n">
        <v>3</v>
      </c>
      <c r="H521" s="41"/>
      <c r="I521" s="44"/>
      <c r="J521" s="44" t="s">
        <v>100</v>
      </c>
    </row>
    <row r="522" customFormat="false" ht="15" hidden="false" customHeight="false" outlineLevel="0" collapsed="false">
      <c r="B522" s="41" t="s">
        <v>9</v>
      </c>
      <c r="C522" s="42" t="n">
        <v>46224</v>
      </c>
      <c r="D522" s="43" t="n">
        <v>0.541666666666667</v>
      </c>
      <c r="E522" s="41"/>
      <c r="F522" s="41" t="s">
        <v>88</v>
      </c>
      <c r="G522" s="41" t="n">
        <v>4</v>
      </c>
      <c r="H522" s="41" t="s">
        <v>23</v>
      </c>
      <c r="I522" s="44"/>
      <c r="J522" s="44" t="s">
        <v>100</v>
      </c>
    </row>
    <row r="523" customFormat="false" ht="15" hidden="false" customHeight="false" outlineLevel="0" collapsed="false">
      <c r="B523" s="41" t="s">
        <v>9</v>
      </c>
      <c r="C523" s="42" t="n">
        <v>46224</v>
      </c>
      <c r="D523" s="43" t="n">
        <v>0.645833333333333</v>
      </c>
      <c r="E523" s="41" t="s">
        <v>92</v>
      </c>
      <c r="F523" s="41" t="s">
        <v>88</v>
      </c>
      <c r="G523" s="41" t="n">
        <v>5</v>
      </c>
      <c r="H523" s="41"/>
      <c r="I523" s="44"/>
      <c r="J523" s="44" t="s">
        <v>100</v>
      </c>
    </row>
    <row r="524" customFormat="false" ht="15" hidden="false" customHeight="false" outlineLevel="0" collapsed="false">
      <c r="B524" s="41" t="s">
        <v>9</v>
      </c>
      <c r="C524" s="42" t="n">
        <v>46224</v>
      </c>
      <c r="D524" s="43" t="n">
        <v>0.708333333333333</v>
      </c>
      <c r="E524" s="41" t="s">
        <v>92</v>
      </c>
      <c r="F524" s="41" t="s">
        <v>88</v>
      </c>
      <c r="G524" s="41" t="n">
        <v>6</v>
      </c>
      <c r="H524" s="41"/>
      <c r="I524" s="44"/>
      <c r="J524" s="44" t="s">
        <v>100</v>
      </c>
    </row>
    <row r="525" customFormat="false" ht="15" hidden="false" customHeight="false" outlineLevel="0" collapsed="false">
      <c r="B525" s="41" t="s">
        <v>9</v>
      </c>
      <c r="C525" s="42" t="n">
        <v>46224</v>
      </c>
      <c r="D525" s="43" t="n">
        <v>0.833333333333333</v>
      </c>
      <c r="E525" s="41"/>
      <c r="F525" s="41" t="s">
        <v>88</v>
      </c>
      <c r="G525" s="41" t="n">
        <v>7</v>
      </c>
      <c r="H525" s="41" t="s">
        <v>98</v>
      </c>
      <c r="I525" s="44"/>
      <c r="J525" s="44" t="s">
        <v>100</v>
      </c>
    </row>
    <row r="526" customFormat="false" ht="15" hidden="false" customHeight="false" outlineLevel="0" collapsed="false">
      <c r="B526" s="41" t="s">
        <v>14</v>
      </c>
      <c r="C526" s="42" t="n">
        <v>46224</v>
      </c>
      <c r="D526" s="43" t="n">
        <v>0.520833333333333</v>
      </c>
      <c r="E526" s="41" t="s">
        <v>102</v>
      </c>
      <c r="F526" s="41" t="s">
        <v>88</v>
      </c>
      <c r="G526" s="41" t="n">
        <v>1</v>
      </c>
      <c r="H526" s="41" t="s">
        <v>103</v>
      </c>
      <c r="I526" s="44"/>
      <c r="J526" s="44" t="s">
        <v>104</v>
      </c>
    </row>
    <row r="527" customFormat="false" ht="15" hidden="false" customHeight="false" outlineLevel="0" collapsed="false">
      <c r="B527" s="41" t="s">
        <v>14</v>
      </c>
      <c r="C527" s="42" t="n">
        <v>46224</v>
      </c>
      <c r="D527" s="43" t="n">
        <v>0.75</v>
      </c>
      <c r="E527" s="41"/>
      <c r="F527" s="41" t="s">
        <v>88</v>
      </c>
      <c r="G527" s="41" t="n">
        <v>2</v>
      </c>
      <c r="H527" s="41" t="s">
        <v>127</v>
      </c>
      <c r="I527" s="44"/>
      <c r="J527" s="44" t="s">
        <v>104</v>
      </c>
    </row>
    <row r="528" customFormat="false" ht="15" hidden="false" customHeight="false" outlineLevel="0" collapsed="false">
      <c r="B528" s="41" t="s">
        <v>15</v>
      </c>
      <c r="C528" s="42" t="n">
        <v>46224</v>
      </c>
      <c r="D528" s="43" t="n">
        <v>0.75</v>
      </c>
      <c r="E528" s="41"/>
      <c r="F528" s="41" t="s">
        <v>88</v>
      </c>
      <c r="G528" s="41" t="n">
        <v>1</v>
      </c>
      <c r="H528" s="41" t="s">
        <v>26</v>
      </c>
      <c r="I528" s="44"/>
      <c r="J528" s="44" t="s">
        <v>120</v>
      </c>
    </row>
    <row r="529" customFormat="false" ht="15" hidden="false" customHeight="false" outlineLevel="0" collapsed="false">
      <c r="B529" s="41" t="s">
        <v>16</v>
      </c>
      <c r="C529" s="42" t="n">
        <v>46224</v>
      </c>
      <c r="D529" s="43" t="n">
        <v>0.333333333333333</v>
      </c>
      <c r="E529" s="41"/>
      <c r="F529" s="41" t="s">
        <v>88</v>
      </c>
      <c r="G529" s="41" t="n">
        <v>1</v>
      </c>
      <c r="H529" s="41"/>
      <c r="I529" s="44"/>
      <c r="J529" s="44" t="s">
        <v>105</v>
      </c>
    </row>
    <row r="530" customFormat="false" ht="15" hidden="false" customHeight="false" outlineLevel="0" collapsed="false">
      <c r="B530" s="41" t="s">
        <v>16</v>
      </c>
      <c r="C530" s="42" t="n">
        <v>46224</v>
      </c>
      <c r="D530" s="43" t="n">
        <v>0.5</v>
      </c>
      <c r="E530" s="41"/>
      <c r="F530" s="41" t="s">
        <v>88</v>
      </c>
      <c r="G530" s="41" t="n">
        <v>2</v>
      </c>
      <c r="H530" s="41"/>
      <c r="I530" s="44"/>
      <c r="J530" s="44" t="s">
        <v>105</v>
      </c>
    </row>
    <row r="531" customFormat="false" ht="15" hidden="false" customHeight="false" outlineLevel="0" collapsed="false">
      <c r="B531" s="41" t="s">
        <v>16</v>
      </c>
      <c r="C531" s="42" t="n">
        <v>46224</v>
      </c>
      <c r="D531" s="43" t="n">
        <v>0.583333333333333</v>
      </c>
      <c r="E531" s="41"/>
      <c r="F531" s="41" t="s">
        <v>88</v>
      </c>
      <c r="G531" s="41" t="n">
        <v>3</v>
      </c>
      <c r="H531" s="41" t="s">
        <v>106</v>
      </c>
      <c r="I531" s="44"/>
      <c r="J531" s="44" t="s">
        <v>105</v>
      </c>
    </row>
    <row r="532" customFormat="false" ht="15" hidden="false" customHeight="false" outlineLevel="0" collapsed="false">
      <c r="B532" s="41" t="s">
        <v>16</v>
      </c>
      <c r="C532" s="42" t="n">
        <v>46224</v>
      </c>
      <c r="D532" s="43" t="n">
        <v>0.666666666666667</v>
      </c>
      <c r="E532" s="41"/>
      <c r="F532" s="41" t="s">
        <v>88</v>
      </c>
      <c r="G532" s="41" t="n">
        <v>4</v>
      </c>
      <c r="H532" s="41" t="s">
        <v>106</v>
      </c>
      <c r="I532" s="44"/>
      <c r="J532" s="44" t="s">
        <v>105</v>
      </c>
    </row>
    <row r="533" customFormat="false" ht="15" hidden="false" customHeight="false" outlineLevel="0" collapsed="false">
      <c r="B533" s="41" t="s">
        <v>16</v>
      </c>
      <c r="C533" s="42" t="n">
        <v>46224</v>
      </c>
      <c r="D533" s="43" t="n">
        <v>0.75</v>
      </c>
      <c r="E533" s="41"/>
      <c r="F533" s="41" t="s">
        <v>88</v>
      </c>
      <c r="G533" s="41" t="n">
        <v>5</v>
      </c>
      <c r="H533" s="41" t="s">
        <v>106</v>
      </c>
      <c r="I533" s="44"/>
      <c r="J533" s="44" t="s">
        <v>105</v>
      </c>
    </row>
    <row r="534" customFormat="false" ht="15" hidden="false" customHeight="false" outlineLevel="0" collapsed="false">
      <c r="B534" s="41" t="s">
        <v>8</v>
      </c>
      <c r="C534" s="42" t="n">
        <v>46224</v>
      </c>
      <c r="D534" s="43" t="n">
        <v>0.354166666666667</v>
      </c>
      <c r="E534" s="41" t="s">
        <v>93</v>
      </c>
      <c r="F534" s="41" t="s">
        <v>88</v>
      </c>
      <c r="G534" s="41" t="n">
        <v>1</v>
      </c>
      <c r="H534" s="41"/>
      <c r="I534" s="44"/>
      <c r="J534" s="44" t="s">
        <v>107</v>
      </c>
    </row>
    <row r="535" customFormat="false" ht="15" hidden="false" customHeight="false" outlineLevel="0" collapsed="false">
      <c r="B535" s="41" t="s">
        <v>8</v>
      </c>
      <c r="C535" s="42" t="n">
        <v>46224</v>
      </c>
      <c r="D535" s="43" t="n">
        <v>0.458333333333333</v>
      </c>
      <c r="E535" s="41" t="s">
        <v>97</v>
      </c>
      <c r="F535" s="41" t="s">
        <v>88</v>
      </c>
      <c r="G535" s="41" t="n">
        <v>2</v>
      </c>
      <c r="H535" s="41"/>
      <c r="I535" s="44"/>
      <c r="J535" s="44" t="s">
        <v>107</v>
      </c>
    </row>
    <row r="536" customFormat="false" ht="15" hidden="false" customHeight="false" outlineLevel="0" collapsed="false">
      <c r="B536" s="41" t="s">
        <v>8</v>
      </c>
      <c r="C536" s="42" t="n">
        <v>46224</v>
      </c>
      <c r="D536" s="43" t="n">
        <v>0.520833333333333</v>
      </c>
      <c r="E536" s="41"/>
      <c r="F536" s="41" t="s">
        <v>88</v>
      </c>
      <c r="G536" s="41" t="n">
        <v>3</v>
      </c>
      <c r="H536" s="41" t="s">
        <v>22</v>
      </c>
      <c r="I536" s="44"/>
      <c r="J536" s="44" t="s">
        <v>107</v>
      </c>
    </row>
    <row r="537" customFormat="false" ht="15" hidden="false" customHeight="false" outlineLevel="0" collapsed="false">
      <c r="B537" s="41" t="s">
        <v>8</v>
      </c>
      <c r="C537" s="42" t="n">
        <v>46224</v>
      </c>
      <c r="D537" s="43" t="n">
        <v>0.5625</v>
      </c>
      <c r="E537" s="41"/>
      <c r="F537" s="41" t="s">
        <v>88</v>
      </c>
      <c r="G537" s="41" t="n">
        <v>4</v>
      </c>
      <c r="H537" s="41" t="s">
        <v>23</v>
      </c>
      <c r="I537" s="44"/>
      <c r="J537" s="44" t="s">
        <v>107</v>
      </c>
    </row>
    <row r="538" customFormat="false" ht="15" hidden="false" customHeight="false" outlineLevel="0" collapsed="false">
      <c r="B538" s="41" t="s">
        <v>8</v>
      </c>
      <c r="C538" s="42" t="n">
        <v>46224</v>
      </c>
      <c r="D538" s="43" t="n">
        <v>0.625</v>
      </c>
      <c r="E538" s="41" t="s">
        <v>92</v>
      </c>
      <c r="F538" s="41" t="s">
        <v>88</v>
      </c>
      <c r="G538" s="41" t="n">
        <v>5</v>
      </c>
      <c r="H538" s="41"/>
      <c r="I538" s="44"/>
      <c r="J538" s="44" t="s">
        <v>107</v>
      </c>
    </row>
    <row r="539" customFormat="false" ht="15" hidden="false" customHeight="false" outlineLevel="0" collapsed="false">
      <c r="B539" s="41" t="s">
        <v>8</v>
      </c>
      <c r="C539" s="42" t="n">
        <v>46224</v>
      </c>
      <c r="D539" s="43" t="n">
        <v>0.6875</v>
      </c>
      <c r="E539" s="41" t="s">
        <v>92</v>
      </c>
      <c r="F539" s="41" t="s">
        <v>88</v>
      </c>
      <c r="G539" s="41" t="n">
        <v>6</v>
      </c>
      <c r="H539" s="41"/>
      <c r="I539" s="44"/>
      <c r="J539" s="44" t="s">
        <v>107</v>
      </c>
    </row>
    <row r="540" customFormat="false" ht="15" hidden="false" customHeight="false" outlineLevel="0" collapsed="false">
      <c r="B540" s="41" t="s">
        <v>8</v>
      </c>
      <c r="C540" s="42" t="n">
        <v>46224</v>
      </c>
      <c r="D540" s="43" t="n">
        <v>0.833333333333333</v>
      </c>
      <c r="E540" s="41"/>
      <c r="F540" s="41" t="s">
        <v>88</v>
      </c>
      <c r="G540" s="41" t="n">
        <v>7</v>
      </c>
      <c r="H540" s="41" t="s">
        <v>98</v>
      </c>
      <c r="I540" s="44"/>
      <c r="J540" s="44" t="s">
        <v>107</v>
      </c>
    </row>
    <row r="541" customFormat="false" ht="15" hidden="false" customHeight="false" outlineLevel="0" collapsed="false">
      <c r="B541" s="41" t="s">
        <v>10</v>
      </c>
      <c r="C541" s="42" t="n">
        <v>46224</v>
      </c>
      <c r="D541" s="43" t="n">
        <v>0.354166666666667</v>
      </c>
      <c r="E541" s="41" t="s">
        <v>93</v>
      </c>
      <c r="F541" s="41" t="s">
        <v>88</v>
      </c>
      <c r="G541" s="41" t="n">
        <v>1</v>
      </c>
      <c r="H541" s="41"/>
      <c r="I541" s="44"/>
      <c r="J541" s="44" t="s">
        <v>125</v>
      </c>
    </row>
    <row r="542" customFormat="false" ht="15" hidden="false" customHeight="false" outlineLevel="0" collapsed="false">
      <c r="B542" s="41" t="s">
        <v>10</v>
      </c>
      <c r="C542" s="42" t="n">
        <v>46224</v>
      </c>
      <c r="D542" s="43" t="n">
        <v>0.46875</v>
      </c>
      <c r="E542" s="41" t="s">
        <v>97</v>
      </c>
      <c r="F542" s="41" t="s">
        <v>88</v>
      </c>
      <c r="G542" s="41" t="n">
        <v>2</v>
      </c>
      <c r="H542" s="41"/>
      <c r="I542" s="44"/>
      <c r="J542" s="44" t="s">
        <v>125</v>
      </c>
    </row>
    <row r="543" customFormat="false" ht="15" hidden="false" customHeight="false" outlineLevel="0" collapsed="false">
      <c r="B543" s="41" t="s">
        <v>10</v>
      </c>
      <c r="C543" s="42" t="n">
        <v>46224</v>
      </c>
      <c r="D543" s="43" t="n">
        <v>0.541666666666667</v>
      </c>
      <c r="E543" s="41"/>
      <c r="F543" s="41" t="s">
        <v>88</v>
      </c>
      <c r="G543" s="41" t="n">
        <v>3</v>
      </c>
      <c r="H543" s="41" t="s">
        <v>23</v>
      </c>
      <c r="I543" s="44"/>
      <c r="J543" s="44" t="s">
        <v>125</v>
      </c>
    </row>
    <row r="544" customFormat="false" ht="15" hidden="false" customHeight="false" outlineLevel="0" collapsed="false">
      <c r="B544" s="41" t="s">
        <v>10</v>
      </c>
      <c r="C544" s="42" t="n">
        <v>46224</v>
      </c>
      <c r="D544" s="43" t="n">
        <v>0.666666666666667</v>
      </c>
      <c r="E544" s="41" t="s">
        <v>92</v>
      </c>
      <c r="F544" s="41" t="s">
        <v>88</v>
      </c>
      <c r="G544" s="41" t="n">
        <v>4</v>
      </c>
      <c r="H544" s="41"/>
      <c r="I544" s="44"/>
      <c r="J544" s="44" t="s">
        <v>125</v>
      </c>
    </row>
    <row r="545" customFormat="false" ht="15" hidden="false" customHeight="false" outlineLevel="0" collapsed="false">
      <c r="B545" s="41" t="s">
        <v>10</v>
      </c>
      <c r="C545" s="42" t="n">
        <v>46224</v>
      </c>
      <c r="D545" s="43" t="n">
        <v>0.833333333333333</v>
      </c>
      <c r="E545" s="41"/>
      <c r="F545" s="41" t="s">
        <v>88</v>
      </c>
      <c r="G545" s="41" t="n">
        <v>5</v>
      </c>
      <c r="H545" s="41" t="s">
        <v>98</v>
      </c>
      <c r="I545" s="44"/>
      <c r="J545" s="44" t="s">
        <v>125</v>
      </c>
    </row>
    <row r="546" customFormat="false" ht="15" hidden="false" customHeight="false" outlineLevel="0" collapsed="false">
      <c r="B546" s="41" t="s">
        <v>12</v>
      </c>
      <c r="C546" s="42" t="n">
        <v>46224</v>
      </c>
      <c r="D546" s="43" t="n">
        <v>0.375</v>
      </c>
      <c r="E546" s="41"/>
      <c r="F546" s="41" t="s">
        <v>88</v>
      </c>
      <c r="G546" s="41" t="n">
        <v>1</v>
      </c>
      <c r="H546" s="41" t="s">
        <v>12</v>
      </c>
      <c r="I546" s="44" t="s">
        <v>114</v>
      </c>
      <c r="J546" s="44" t="s">
        <v>115</v>
      </c>
    </row>
    <row r="547" customFormat="false" ht="15" hidden="false" customHeight="false" outlineLevel="0" collapsed="false">
      <c r="B547" s="41" t="s">
        <v>12</v>
      </c>
      <c r="C547" s="42" t="n">
        <v>46224</v>
      </c>
      <c r="D547" s="43" t="n">
        <v>0.416666666666667</v>
      </c>
      <c r="E547" s="41"/>
      <c r="F547" s="41" t="s">
        <v>88</v>
      </c>
      <c r="G547" s="41" t="n">
        <v>2</v>
      </c>
      <c r="H547" s="41" t="s">
        <v>12</v>
      </c>
      <c r="I547" s="44"/>
      <c r="J547" s="44" t="s">
        <v>115</v>
      </c>
    </row>
    <row r="548" customFormat="false" ht="15" hidden="false" customHeight="false" outlineLevel="0" collapsed="false">
      <c r="B548" s="41" t="s">
        <v>12</v>
      </c>
      <c r="C548" s="42" t="n">
        <v>46224</v>
      </c>
      <c r="D548" s="43" t="n">
        <v>0.541666666666667</v>
      </c>
      <c r="E548" s="41"/>
      <c r="F548" s="41" t="s">
        <v>88</v>
      </c>
      <c r="G548" s="41" t="n">
        <v>3</v>
      </c>
      <c r="H548" s="41" t="s">
        <v>113</v>
      </c>
      <c r="I548" s="44"/>
      <c r="J548" s="44" t="s">
        <v>115</v>
      </c>
    </row>
    <row r="549" customFormat="false" ht="15" hidden="false" customHeight="false" outlineLevel="0" collapsed="false">
      <c r="B549" s="41" t="s">
        <v>12</v>
      </c>
      <c r="C549" s="42" t="n">
        <v>46224</v>
      </c>
      <c r="D549" s="43" t="n">
        <v>0.625</v>
      </c>
      <c r="E549" s="41"/>
      <c r="F549" s="41" t="s">
        <v>88</v>
      </c>
      <c r="G549" s="41" t="n">
        <v>4</v>
      </c>
      <c r="H549" s="41" t="s">
        <v>12</v>
      </c>
      <c r="I549" s="44"/>
      <c r="J549" s="44" t="s">
        <v>115</v>
      </c>
    </row>
    <row r="550" customFormat="false" ht="15" hidden="false" customHeight="false" outlineLevel="0" collapsed="false">
      <c r="B550" s="41" t="s">
        <v>17</v>
      </c>
      <c r="C550" s="42" t="n">
        <v>46225</v>
      </c>
      <c r="D550" s="43" t="n">
        <v>0.479166666666667</v>
      </c>
      <c r="E550" s="41"/>
      <c r="F550" s="41" t="s">
        <v>88</v>
      </c>
      <c r="G550" s="41" t="n">
        <v>1</v>
      </c>
      <c r="H550" s="41" t="s">
        <v>89</v>
      </c>
      <c r="I550" s="44" t="s">
        <v>126</v>
      </c>
      <c r="J550" s="44" t="s">
        <v>91</v>
      </c>
    </row>
    <row r="551" customFormat="false" ht="15" hidden="false" customHeight="false" outlineLevel="0" collapsed="false">
      <c r="B551" s="41" t="s">
        <v>17</v>
      </c>
      <c r="C551" s="42" t="n">
        <v>46225</v>
      </c>
      <c r="D551" s="43" t="n">
        <v>0.6875</v>
      </c>
      <c r="E551" s="41" t="s">
        <v>92</v>
      </c>
      <c r="F551" s="41" t="s">
        <v>88</v>
      </c>
      <c r="G551" s="41" t="n">
        <v>2</v>
      </c>
      <c r="H551" s="41"/>
      <c r="I551" s="44" t="s">
        <v>126</v>
      </c>
      <c r="J551" s="44" t="s">
        <v>91</v>
      </c>
    </row>
    <row r="552" customFormat="false" ht="15" hidden="false" customHeight="false" outlineLevel="0" collapsed="false">
      <c r="B552" s="41" t="s">
        <v>11</v>
      </c>
      <c r="C552" s="42" t="n">
        <v>46225</v>
      </c>
      <c r="D552" s="43" t="n">
        <v>0.354166666666667</v>
      </c>
      <c r="E552" s="41" t="s">
        <v>93</v>
      </c>
      <c r="F552" s="41" t="s">
        <v>88</v>
      </c>
      <c r="G552" s="41" t="n">
        <v>1</v>
      </c>
      <c r="H552" s="41" t="s">
        <v>94</v>
      </c>
      <c r="I552" s="44" t="s">
        <v>95</v>
      </c>
      <c r="J552" s="44" t="s">
        <v>96</v>
      </c>
    </row>
    <row r="553" customFormat="false" ht="15" hidden="false" customHeight="false" outlineLevel="0" collapsed="false">
      <c r="B553" s="41" t="s">
        <v>11</v>
      </c>
      <c r="C553" s="42" t="n">
        <v>46225</v>
      </c>
      <c r="D553" s="43" t="n">
        <v>0.479166666666667</v>
      </c>
      <c r="E553" s="41" t="s">
        <v>97</v>
      </c>
      <c r="F553" s="41" t="s">
        <v>88</v>
      </c>
      <c r="G553" s="41" t="n">
        <v>2</v>
      </c>
      <c r="H553" s="41" t="s">
        <v>94</v>
      </c>
      <c r="I553" s="44"/>
      <c r="J553" s="44" t="s">
        <v>96</v>
      </c>
    </row>
    <row r="554" customFormat="false" ht="15" hidden="false" customHeight="false" outlineLevel="0" collapsed="false">
      <c r="B554" s="41" t="s">
        <v>11</v>
      </c>
      <c r="C554" s="42" t="n">
        <v>46225</v>
      </c>
      <c r="D554" s="43" t="n">
        <v>0.583333333333333</v>
      </c>
      <c r="E554" s="41"/>
      <c r="F554" s="41" t="s">
        <v>88</v>
      </c>
      <c r="G554" s="41" t="n">
        <v>3</v>
      </c>
      <c r="H554" s="41" t="s">
        <v>23</v>
      </c>
      <c r="I554" s="44"/>
      <c r="J554" s="44" t="s">
        <v>96</v>
      </c>
    </row>
    <row r="555" customFormat="false" ht="15" hidden="false" customHeight="false" outlineLevel="0" collapsed="false">
      <c r="B555" s="41" t="s">
        <v>11</v>
      </c>
      <c r="C555" s="42" t="n">
        <v>46225</v>
      </c>
      <c r="D555" s="43" t="n">
        <v>0.708333333333333</v>
      </c>
      <c r="E555" s="41"/>
      <c r="F555" s="41" t="s">
        <v>88</v>
      </c>
      <c r="G555" s="41" t="n">
        <v>4</v>
      </c>
      <c r="H555" s="41" t="s">
        <v>24</v>
      </c>
      <c r="I555" s="44"/>
      <c r="J555" s="44" t="s">
        <v>96</v>
      </c>
    </row>
    <row r="556" customFormat="false" ht="15" hidden="false" customHeight="false" outlineLevel="0" collapsed="false">
      <c r="B556" s="41" t="s">
        <v>11</v>
      </c>
      <c r="C556" s="42" t="n">
        <v>46225</v>
      </c>
      <c r="D556" s="43" t="n">
        <v>0.833333333333333</v>
      </c>
      <c r="E556" s="41"/>
      <c r="F556" s="41" t="s">
        <v>88</v>
      </c>
      <c r="G556" s="41" t="n">
        <v>5</v>
      </c>
      <c r="H556" s="41" t="s">
        <v>98</v>
      </c>
      <c r="I556" s="44"/>
      <c r="J556" s="44" t="s">
        <v>96</v>
      </c>
    </row>
    <row r="557" customFormat="false" ht="15" hidden="false" customHeight="false" outlineLevel="0" collapsed="false">
      <c r="B557" s="41" t="s">
        <v>9</v>
      </c>
      <c r="C557" s="42" t="n">
        <v>46225</v>
      </c>
      <c r="D557" s="43" t="n">
        <v>0.385416666666667</v>
      </c>
      <c r="E557" s="41" t="s">
        <v>102</v>
      </c>
      <c r="F557" s="41" t="s">
        <v>88</v>
      </c>
      <c r="G557" s="41" t="n">
        <v>1</v>
      </c>
      <c r="H557" s="41" t="s">
        <v>94</v>
      </c>
      <c r="I557" s="44"/>
      <c r="J557" s="44" t="s">
        <v>100</v>
      </c>
    </row>
    <row r="558" customFormat="false" ht="15" hidden="false" customHeight="false" outlineLevel="0" collapsed="false">
      <c r="B558" s="41" t="s">
        <v>9</v>
      </c>
      <c r="C558" s="42" t="n">
        <v>46225</v>
      </c>
      <c r="D558" s="43" t="n">
        <v>0.479166666666667</v>
      </c>
      <c r="E558" s="41" t="s">
        <v>109</v>
      </c>
      <c r="F558" s="41" t="s">
        <v>88</v>
      </c>
      <c r="G558" s="41" t="n">
        <v>2</v>
      </c>
      <c r="H558" s="41" t="s">
        <v>94</v>
      </c>
      <c r="I558" s="44"/>
      <c r="J558" s="44" t="s">
        <v>100</v>
      </c>
    </row>
    <row r="559" customFormat="false" ht="15" hidden="false" customHeight="false" outlineLevel="0" collapsed="false">
      <c r="B559" s="41" t="s">
        <v>9</v>
      </c>
      <c r="C559" s="42" t="n">
        <v>46225</v>
      </c>
      <c r="D559" s="43" t="n">
        <v>0.541666666666667</v>
      </c>
      <c r="E559" s="41"/>
      <c r="F559" s="41" t="s">
        <v>88</v>
      </c>
      <c r="G559" s="41" t="n">
        <v>3</v>
      </c>
      <c r="H559" s="41" t="s">
        <v>23</v>
      </c>
      <c r="I559" s="44"/>
      <c r="J559" s="44" t="s">
        <v>100</v>
      </c>
    </row>
    <row r="560" customFormat="false" ht="15" hidden="false" customHeight="false" outlineLevel="0" collapsed="false">
      <c r="B560" s="41" t="s">
        <v>9</v>
      </c>
      <c r="C560" s="42" t="n">
        <v>46225</v>
      </c>
      <c r="D560" s="43" t="n">
        <v>0.708333333333333</v>
      </c>
      <c r="E560" s="41"/>
      <c r="F560" s="41" t="s">
        <v>88</v>
      </c>
      <c r="G560" s="41" t="n">
        <v>4</v>
      </c>
      <c r="H560" s="41" t="s">
        <v>24</v>
      </c>
      <c r="I560" s="44"/>
      <c r="J560" s="44" t="s">
        <v>100</v>
      </c>
    </row>
    <row r="561" customFormat="false" ht="15" hidden="false" customHeight="false" outlineLevel="0" collapsed="false">
      <c r="B561" s="41" t="s">
        <v>9</v>
      </c>
      <c r="C561" s="42" t="n">
        <v>46225</v>
      </c>
      <c r="D561" s="43" t="n">
        <v>0.833333333333333</v>
      </c>
      <c r="E561" s="41"/>
      <c r="F561" s="41" t="s">
        <v>88</v>
      </c>
      <c r="G561" s="41" t="n">
        <v>5</v>
      </c>
      <c r="H561" s="41" t="s">
        <v>98</v>
      </c>
      <c r="I561" s="44"/>
      <c r="J561" s="44" t="s">
        <v>100</v>
      </c>
    </row>
    <row r="562" customFormat="false" ht="15" hidden="false" customHeight="false" outlineLevel="0" collapsed="false">
      <c r="B562" s="41" t="s">
        <v>14</v>
      </c>
      <c r="C562" s="42" t="n">
        <v>46225</v>
      </c>
      <c r="D562" s="43" t="n">
        <v>0.520833333333333</v>
      </c>
      <c r="E562" s="41" t="s">
        <v>102</v>
      </c>
      <c r="F562" s="41" t="s">
        <v>88</v>
      </c>
      <c r="G562" s="41" t="n">
        <v>1</v>
      </c>
      <c r="H562" s="41" t="s">
        <v>103</v>
      </c>
      <c r="I562" s="44"/>
      <c r="J562" s="44" t="s">
        <v>104</v>
      </c>
    </row>
    <row r="563" customFormat="false" ht="15" hidden="false" customHeight="false" outlineLevel="0" collapsed="false">
      <c r="B563" s="41" t="s">
        <v>15</v>
      </c>
      <c r="C563" s="42" t="n">
        <v>46225</v>
      </c>
      <c r="D563" s="43" t="n">
        <v>0.75</v>
      </c>
      <c r="E563" s="41"/>
      <c r="F563" s="41" t="s">
        <v>88</v>
      </c>
      <c r="G563" s="41" t="n">
        <v>1</v>
      </c>
      <c r="H563" s="41" t="s">
        <v>26</v>
      </c>
      <c r="I563" s="44"/>
      <c r="J563" s="44" t="s">
        <v>120</v>
      </c>
    </row>
    <row r="564" customFormat="false" ht="15" hidden="false" customHeight="false" outlineLevel="0" collapsed="false">
      <c r="B564" s="41" t="s">
        <v>16</v>
      </c>
      <c r="C564" s="42" t="n">
        <v>46225</v>
      </c>
      <c r="D564" s="43" t="n">
        <v>0.333333333333333</v>
      </c>
      <c r="E564" s="41"/>
      <c r="F564" s="41" t="s">
        <v>88</v>
      </c>
      <c r="G564" s="41" t="n">
        <v>1</v>
      </c>
      <c r="H564" s="41"/>
      <c r="I564" s="44"/>
      <c r="J564" s="44" t="s">
        <v>105</v>
      </c>
    </row>
    <row r="565" customFormat="false" ht="15" hidden="false" customHeight="false" outlineLevel="0" collapsed="false">
      <c r="B565" s="41" t="s">
        <v>16</v>
      </c>
      <c r="C565" s="42" t="n">
        <v>46225</v>
      </c>
      <c r="D565" s="43" t="n">
        <v>0.5</v>
      </c>
      <c r="E565" s="41"/>
      <c r="F565" s="41" t="s">
        <v>88</v>
      </c>
      <c r="G565" s="41" t="n">
        <v>2</v>
      </c>
      <c r="H565" s="41"/>
      <c r="I565" s="44"/>
      <c r="J565" s="44" t="s">
        <v>105</v>
      </c>
    </row>
    <row r="566" customFormat="false" ht="15" hidden="false" customHeight="false" outlineLevel="0" collapsed="false">
      <c r="B566" s="41" t="s">
        <v>16</v>
      </c>
      <c r="C566" s="42" t="n">
        <v>46225</v>
      </c>
      <c r="D566" s="43" t="n">
        <v>0.583333333333333</v>
      </c>
      <c r="E566" s="41"/>
      <c r="F566" s="41" t="s">
        <v>88</v>
      </c>
      <c r="G566" s="41" t="n">
        <v>3</v>
      </c>
      <c r="H566" s="41" t="s">
        <v>106</v>
      </c>
      <c r="I566" s="44"/>
      <c r="J566" s="44" t="s">
        <v>105</v>
      </c>
    </row>
    <row r="567" customFormat="false" ht="15" hidden="false" customHeight="false" outlineLevel="0" collapsed="false">
      <c r="B567" s="41" t="s">
        <v>16</v>
      </c>
      <c r="C567" s="42" t="n">
        <v>46225</v>
      </c>
      <c r="D567" s="43" t="n">
        <v>0.666666666666667</v>
      </c>
      <c r="E567" s="41"/>
      <c r="F567" s="41" t="s">
        <v>88</v>
      </c>
      <c r="G567" s="41" t="n">
        <v>4</v>
      </c>
      <c r="H567" s="41" t="s">
        <v>106</v>
      </c>
      <c r="I567" s="44"/>
      <c r="J567" s="44" t="s">
        <v>105</v>
      </c>
    </row>
    <row r="568" customFormat="false" ht="15" hidden="false" customHeight="false" outlineLevel="0" collapsed="false">
      <c r="B568" s="41" t="s">
        <v>16</v>
      </c>
      <c r="C568" s="42" t="n">
        <v>46225</v>
      </c>
      <c r="D568" s="43" t="n">
        <v>0.75</v>
      </c>
      <c r="E568" s="41"/>
      <c r="F568" s="41" t="s">
        <v>88</v>
      </c>
      <c r="G568" s="41" t="n">
        <v>5</v>
      </c>
      <c r="H568" s="41" t="s">
        <v>106</v>
      </c>
      <c r="I568" s="44"/>
      <c r="J568" s="44" t="s">
        <v>105</v>
      </c>
    </row>
    <row r="569" customFormat="false" ht="15" hidden="false" customHeight="false" outlineLevel="0" collapsed="false">
      <c r="B569" s="41" t="s">
        <v>8</v>
      </c>
      <c r="C569" s="42" t="n">
        <v>46225</v>
      </c>
      <c r="D569" s="43" t="n">
        <v>0.416666666666667</v>
      </c>
      <c r="E569" s="41" t="s">
        <v>99</v>
      </c>
      <c r="F569" s="41" t="s">
        <v>88</v>
      </c>
      <c r="G569" s="41" t="n">
        <v>1</v>
      </c>
      <c r="H569" s="41" t="s">
        <v>94</v>
      </c>
      <c r="I569" s="44"/>
      <c r="J569" s="44" t="s">
        <v>107</v>
      </c>
    </row>
    <row r="570" customFormat="false" ht="15" hidden="false" customHeight="false" outlineLevel="0" collapsed="false">
      <c r="B570" s="41" t="s">
        <v>8</v>
      </c>
      <c r="C570" s="42" t="n">
        <v>46225</v>
      </c>
      <c r="D570" s="43" t="n">
        <v>0.479166666666667</v>
      </c>
      <c r="E570" s="41" t="s">
        <v>101</v>
      </c>
      <c r="F570" s="41" t="s">
        <v>88</v>
      </c>
      <c r="G570" s="41" t="n">
        <v>2</v>
      </c>
      <c r="H570" s="41" t="s">
        <v>94</v>
      </c>
      <c r="I570" s="44"/>
      <c r="J570" s="44" t="s">
        <v>107</v>
      </c>
    </row>
    <row r="571" customFormat="false" ht="15" hidden="false" customHeight="false" outlineLevel="0" collapsed="false">
      <c r="B571" s="41" t="s">
        <v>8</v>
      </c>
      <c r="C571" s="42" t="n">
        <v>46225</v>
      </c>
      <c r="D571" s="43" t="n">
        <v>0.520833333333333</v>
      </c>
      <c r="E571" s="41"/>
      <c r="F571" s="41" t="s">
        <v>88</v>
      </c>
      <c r="G571" s="41" t="n">
        <v>3</v>
      </c>
      <c r="H571" s="41" t="s">
        <v>22</v>
      </c>
      <c r="I571" s="44"/>
      <c r="J571" s="44" t="s">
        <v>107</v>
      </c>
    </row>
    <row r="572" customFormat="false" ht="15" hidden="false" customHeight="false" outlineLevel="0" collapsed="false">
      <c r="B572" s="41" t="s">
        <v>8</v>
      </c>
      <c r="C572" s="42" t="n">
        <v>46225</v>
      </c>
      <c r="D572" s="43" t="n">
        <v>0.5625</v>
      </c>
      <c r="E572" s="41"/>
      <c r="F572" s="41" t="s">
        <v>88</v>
      </c>
      <c r="G572" s="41" t="n">
        <v>4</v>
      </c>
      <c r="H572" s="41" t="s">
        <v>23</v>
      </c>
      <c r="I572" s="44"/>
      <c r="J572" s="44" t="s">
        <v>107</v>
      </c>
    </row>
    <row r="573" customFormat="false" ht="15" hidden="false" customHeight="false" outlineLevel="0" collapsed="false">
      <c r="B573" s="41" t="s">
        <v>8</v>
      </c>
      <c r="C573" s="42" t="n">
        <v>46225</v>
      </c>
      <c r="D573" s="43" t="n">
        <v>0.708333333333333</v>
      </c>
      <c r="E573" s="41"/>
      <c r="F573" s="41" t="s">
        <v>88</v>
      </c>
      <c r="G573" s="41" t="n">
        <v>5</v>
      </c>
      <c r="H573" s="41" t="s">
        <v>24</v>
      </c>
      <c r="I573" s="44"/>
      <c r="J573" s="44" t="s">
        <v>107</v>
      </c>
    </row>
    <row r="574" customFormat="false" ht="15" hidden="false" customHeight="false" outlineLevel="0" collapsed="false">
      <c r="B574" s="41" t="s">
        <v>8</v>
      </c>
      <c r="C574" s="42" t="n">
        <v>46225</v>
      </c>
      <c r="D574" s="43" t="n">
        <v>0.833333333333333</v>
      </c>
      <c r="E574" s="41"/>
      <c r="F574" s="41" t="s">
        <v>88</v>
      </c>
      <c r="G574" s="41" t="n">
        <v>6</v>
      </c>
      <c r="H574" s="41" t="s">
        <v>98</v>
      </c>
      <c r="I574" s="44"/>
      <c r="J574" s="44" t="s">
        <v>107</v>
      </c>
    </row>
    <row r="575" customFormat="false" ht="15" hidden="false" customHeight="false" outlineLevel="0" collapsed="false">
      <c r="B575" s="41" t="s">
        <v>10</v>
      </c>
      <c r="C575" s="42" t="n">
        <v>46225</v>
      </c>
      <c r="D575" s="43" t="n">
        <v>0.34375</v>
      </c>
      <c r="E575" s="41" t="s">
        <v>93</v>
      </c>
      <c r="F575" s="41" t="s">
        <v>88</v>
      </c>
      <c r="G575" s="41" t="n">
        <v>1</v>
      </c>
      <c r="H575" s="41" t="s">
        <v>94</v>
      </c>
      <c r="I575" s="44"/>
      <c r="J575" s="44" t="s">
        <v>125</v>
      </c>
    </row>
    <row r="576" customFormat="false" ht="15" hidden="false" customHeight="false" outlineLevel="0" collapsed="false">
      <c r="B576" s="41" t="s">
        <v>10</v>
      </c>
      <c r="C576" s="42" t="n">
        <v>46225</v>
      </c>
      <c r="D576" s="43" t="n">
        <v>0.46875</v>
      </c>
      <c r="E576" s="41" t="s">
        <v>97</v>
      </c>
      <c r="F576" s="41" t="s">
        <v>88</v>
      </c>
      <c r="G576" s="41" t="n">
        <v>2</v>
      </c>
      <c r="H576" s="41" t="s">
        <v>94</v>
      </c>
      <c r="I576" s="44"/>
      <c r="J576" s="44" t="s">
        <v>125</v>
      </c>
    </row>
    <row r="577" customFormat="false" ht="15" hidden="false" customHeight="false" outlineLevel="0" collapsed="false">
      <c r="B577" s="41" t="s">
        <v>10</v>
      </c>
      <c r="C577" s="42" t="n">
        <v>46225</v>
      </c>
      <c r="D577" s="43" t="n">
        <v>0.541666666666667</v>
      </c>
      <c r="E577" s="41"/>
      <c r="F577" s="41" t="s">
        <v>88</v>
      </c>
      <c r="G577" s="41" t="n">
        <v>3</v>
      </c>
      <c r="H577" s="41" t="s">
        <v>23</v>
      </c>
      <c r="I577" s="44"/>
      <c r="J577" s="44" t="s">
        <v>125</v>
      </c>
    </row>
    <row r="578" customFormat="false" ht="15" hidden="false" customHeight="false" outlineLevel="0" collapsed="false">
      <c r="B578" s="41" t="s">
        <v>10</v>
      </c>
      <c r="C578" s="42" t="n">
        <v>46225</v>
      </c>
      <c r="D578" s="43" t="n">
        <v>0.625</v>
      </c>
      <c r="E578" s="41" t="s">
        <v>92</v>
      </c>
      <c r="F578" s="41" t="s">
        <v>88</v>
      </c>
      <c r="G578" s="41" t="n">
        <v>4</v>
      </c>
      <c r="H578" s="41"/>
      <c r="I578" s="44"/>
      <c r="J578" s="44" t="s">
        <v>125</v>
      </c>
    </row>
    <row r="579" customFormat="false" ht="15" hidden="false" customHeight="false" outlineLevel="0" collapsed="false">
      <c r="B579" s="41" t="s">
        <v>10</v>
      </c>
      <c r="C579" s="42" t="n">
        <v>46225</v>
      </c>
      <c r="D579" s="43" t="n">
        <v>0.833333333333333</v>
      </c>
      <c r="E579" s="41"/>
      <c r="F579" s="41" t="s">
        <v>88</v>
      </c>
      <c r="G579" s="41" t="n">
        <v>5</v>
      </c>
      <c r="H579" s="41" t="s">
        <v>98</v>
      </c>
      <c r="I579" s="44"/>
      <c r="J579" s="44" t="s">
        <v>125</v>
      </c>
    </row>
    <row r="580" customFormat="false" ht="15" hidden="false" customHeight="false" outlineLevel="0" collapsed="false">
      <c r="B580" s="41" t="s">
        <v>12</v>
      </c>
      <c r="C580" s="42" t="n">
        <v>46225</v>
      </c>
      <c r="D580" s="43" t="n">
        <v>0.34375</v>
      </c>
      <c r="E580" s="41"/>
      <c r="F580" s="41" t="s">
        <v>88</v>
      </c>
      <c r="G580" s="41" t="n">
        <v>1</v>
      </c>
      <c r="H580" s="41" t="s">
        <v>12</v>
      </c>
      <c r="I580" s="44" t="s">
        <v>114</v>
      </c>
      <c r="J580" s="44" t="s">
        <v>115</v>
      </c>
    </row>
    <row r="581" customFormat="false" ht="15" hidden="false" customHeight="false" outlineLevel="0" collapsed="false">
      <c r="B581" s="41" t="s">
        <v>12</v>
      </c>
      <c r="C581" s="42" t="n">
        <v>46225</v>
      </c>
      <c r="D581" s="43" t="n">
        <v>0.416666666666667</v>
      </c>
      <c r="E581" s="41"/>
      <c r="F581" s="41" t="s">
        <v>88</v>
      </c>
      <c r="G581" s="41" t="n">
        <v>2</v>
      </c>
      <c r="H581" s="41" t="s">
        <v>12</v>
      </c>
      <c r="I581" s="44"/>
      <c r="J581" s="44" t="s">
        <v>115</v>
      </c>
    </row>
    <row r="582" customFormat="false" ht="15" hidden="false" customHeight="false" outlineLevel="0" collapsed="false">
      <c r="B582" s="41" t="s">
        <v>12</v>
      </c>
      <c r="C582" s="42" t="n">
        <v>46225</v>
      </c>
      <c r="D582" s="43" t="n">
        <v>0.458333333333333</v>
      </c>
      <c r="E582" s="41"/>
      <c r="F582" s="41" t="s">
        <v>88</v>
      </c>
      <c r="G582" s="41" t="n">
        <v>3</v>
      </c>
      <c r="H582" s="41" t="s">
        <v>113</v>
      </c>
      <c r="I582" s="44"/>
      <c r="J582" s="44" t="s">
        <v>115</v>
      </c>
    </row>
    <row r="583" customFormat="false" ht="15" hidden="false" customHeight="false" outlineLevel="0" collapsed="false">
      <c r="B583" s="41" t="s">
        <v>12</v>
      </c>
      <c r="C583" s="42" t="n">
        <v>46225</v>
      </c>
      <c r="D583" s="43" t="n">
        <v>0.583333333333333</v>
      </c>
      <c r="E583" s="41"/>
      <c r="F583" s="41" t="s">
        <v>88</v>
      </c>
      <c r="G583" s="41" t="n">
        <v>4</v>
      </c>
      <c r="H583" s="41" t="s">
        <v>12</v>
      </c>
      <c r="I583" s="44"/>
      <c r="J583" s="44" t="s">
        <v>115</v>
      </c>
    </row>
    <row r="584" customFormat="false" ht="15" hidden="false" customHeight="false" outlineLevel="0" collapsed="false">
      <c r="B584" s="41" t="s">
        <v>17</v>
      </c>
      <c r="C584" s="42" t="n">
        <v>46226</v>
      </c>
      <c r="D584" s="43" t="n">
        <v>0.416666666666667</v>
      </c>
      <c r="E584" s="41"/>
      <c r="F584" s="41" t="s">
        <v>88</v>
      </c>
      <c r="G584" s="41" t="n">
        <v>1</v>
      </c>
      <c r="H584" s="41" t="s">
        <v>89</v>
      </c>
      <c r="I584" s="44" t="s">
        <v>122</v>
      </c>
      <c r="J584" s="44" t="s">
        <v>91</v>
      </c>
    </row>
    <row r="585" customFormat="false" ht="15" hidden="false" customHeight="false" outlineLevel="0" collapsed="false">
      <c r="B585" s="41" t="s">
        <v>17</v>
      </c>
      <c r="C585" s="42" t="n">
        <v>46226</v>
      </c>
      <c r="D585" s="43" t="n">
        <v>0.625</v>
      </c>
      <c r="E585" s="41" t="s">
        <v>92</v>
      </c>
      <c r="F585" s="41" t="s">
        <v>88</v>
      </c>
      <c r="G585" s="41" t="n">
        <v>2</v>
      </c>
      <c r="H585" s="41"/>
      <c r="I585" s="44" t="s">
        <v>122</v>
      </c>
      <c r="J585" s="44" t="s">
        <v>91</v>
      </c>
    </row>
    <row r="586" customFormat="false" ht="15" hidden="false" customHeight="false" outlineLevel="0" collapsed="false">
      <c r="B586" s="41" t="s">
        <v>11</v>
      </c>
      <c r="C586" s="42" t="n">
        <v>46226</v>
      </c>
      <c r="D586" s="43" t="n">
        <v>0.354166666666667</v>
      </c>
      <c r="E586" s="41" t="s">
        <v>93</v>
      </c>
      <c r="F586" s="41" t="s">
        <v>88</v>
      </c>
      <c r="G586" s="41" t="n">
        <v>1</v>
      </c>
      <c r="H586" s="41"/>
      <c r="I586" s="44" t="s">
        <v>95</v>
      </c>
      <c r="J586" s="44" t="s">
        <v>96</v>
      </c>
    </row>
    <row r="587" customFormat="false" ht="15" hidden="false" customHeight="false" outlineLevel="0" collapsed="false">
      <c r="B587" s="41" t="s">
        <v>11</v>
      </c>
      <c r="C587" s="42" t="n">
        <v>46226</v>
      </c>
      <c r="D587" s="43" t="n">
        <v>0.479166666666667</v>
      </c>
      <c r="E587" s="41" t="s">
        <v>97</v>
      </c>
      <c r="F587" s="41" t="s">
        <v>88</v>
      </c>
      <c r="G587" s="41" t="n">
        <v>2</v>
      </c>
      <c r="H587" s="41"/>
      <c r="I587" s="44"/>
      <c r="J587" s="44" t="s">
        <v>96</v>
      </c>
    </row>
    <row r="588" customFormat="false" ht="15" hidden="false" customHeight="false" outlineLevel="0" collapsed="false">
      <c r="B588" s="41" t="s">
        <v>11</v>
      </c>
      <c r="C588" s="42" t="n">
        <v>46226</v>
      </c>
      <c r="D588" s="43" t="n">
        <v>0.5625</v>
      </c>
      <c r="E588" s="41"/>
      <c r="F588" s="41" t="s">
        <v>88</v>
      </c>
      <c r="G588" s="41" t="n">
        <v>3</v>
      </c>
      <c r="H588" s="41" t="s">
        <v>23</v>
      </c>
      <c r="I588" s="44"/>
      <c r="J588" s="44" t="s">
        <v>96</v>
      </c>
    </row>
    <row r="589" customFormat="false" ht="15" hidden="false" customHeight="false" outlineLevel="0" collapsed="false">
      <c r="B589" s="41" t="s">
        <v>11</v>
      </c>
      <c r="C589" s="42" t="n">
        <v>46226</v>
      </c>
      <c r="D589" s="43" t="n">
        <v>0.604166666666667</v>
      </c>
      <c r="E589" s="41" t="s">
        <v>92</v>
      </c>
      <c r="F589" s="41" t="s">
        <v>88</v>
      </c>
      <c r="G589" s="41" t="n">
        <v>4</v>
      </c>
      <c r="H589" s="41"/>
      <c r="I589" s="44"/>
      <c r="J589" s="44" t="s">
        <v>96</v>
      </c>
    </row>
    <row r="590" customFormat="false" ht="15" hidden="false" customHeight="false" outlineLevel="0" collapsed="false">
      <c r="B590" s="41" t="s">
        <v>11</v>
      </c>
      <c r="C590" s="42" t="n">
        <v>46226</v>
      </c>
      <c r="D590" s="43" t="n">
        <v>0.666666666666667</v>
      </c>
      <c r="E590" s="41" t="s">
        <v>92</v>
      </c>
      <c r="F590" s="41" t="s">
        <v>88</v>
      </c>
      <c r="G590" s="41" t="n">
        <v>5</v>
      </c>
      <c r="H590" s="41"/>
      <c r="I590" s="44"/>
      <c r="J590" s="44" t="s">
        <v>96</v>
      </c>
    </row>
    <row r="591" customFormat="false" ht="15" hidden="false" customHeight="false" outlineLevel="0" collapsed="false">
      <c r="B591" s="41" t="s">
        <v>11</v>
      </c>
      <c r="C591" s="42" t="n">
        <v>46226</v>
      </c>
      <c r="D591" s="43" t="n">
        <v>0.833333333333333</v>
      </c>
      <c r="E591" s="41"/>
      <c r="F591" s="41" t="s">
        <v>88</v>
      </c>
      <c r="G591" s="41" t="n">
        <v>6</v>
      </c>
      <c r="H591" s="41" t="s">
        <v>98</v>
      </c>
      <c r="I591" s="44"/>
      <c r="J591" s="44" t="s">
        <v>96</v>
      </c>
    </row>
    <row r="592" customFormat="false" ht="15" hidden="false" customHeight="false" outlineLevel="0" collapsed="false">
      <c r="B592" s="41" t="s">
        <v>9</v>
      </c>
      <c r="C592" s="42" t="n">
        <v>46226</v>
      </c>
      <c r="D592" s="43" t="n">
        <v>0.416666666666667</v>
      </c>
      <c r="E592" s="41" t="s">
        <v>99</v>
      </c>
      <c r="F592" s="41" t="s">
        <v>88</v>
      </c>
      <c r="G592" s="41" t="n">
        <v>1</v>
      </c>
      <c r="H592" s="41"/>
      <c r="I592" s="44"/>
      <c r="J592" s="44" t="s">
        <v>100</v>
      </c>
    </row>
    <row r="593" customFormat="false" ht="15" hidden="false" customHeight="false" outlineLevel="0" collapsed="false">
      <c r="B593" s="41" t="s">
        <v>9</v>
      </c>
      <c r="C593" s="42" t="n">
        <v>46226</v>
      </c>
      <c r="D593" s="43" t="n">
        <v>0.479166666666667</v>
      </c>
      <c r="E593" s="41" t="s">
        <v>101</v>
      </c>
      <c r="F593" s="41" t="s">
        <v>88</v>
      </c>
      <c r="G593" s="41" t="n">
        <v>2</v>
      </c>
      <c r="H593" s="41"/>
      <c r="I593" s="44"/>
      <c r="J593" s="44" t="s">
        <v>100</v>
      </c>
    </row>
    <row r="594" customFormat="false" ht="15" hidden="false" customHeight="false" outlineLevel="0" collapsed="false">
      <c r="B594" s="41" t="s">
        <v>9</v>
      </c>
      <c r="C594" s="42" t="n">
        <v>46226</v>
      </c>
      <c r="D594" s="43" t="n">
        <v>0.541666666666667</v>
      </c>
      <c r="E594" s="41"/>
      <c r="F594" s="41" t="s">
        <v>88</v>
      </c>
      <c r="G594" s="41" t="n">
        <v>3</v>
      </c>
      <c r="H594" s="41" t="s">
        <v>23</v>
      </c>
      <c r="I594" s="44"/>
      <c r="J594" s="44" t="s">
        <v>100</v>
      </c>
    </row>
    <row r="595" customFormat="false" ht="15" hidden="false" customHeight="false" outlineLevel="0" collapsed="false">
      <c r="B595" s="41" t="s">
        <v>9</v>
      </c>
      <c r="C595" s="42" t="n">
        <v>46226</v>
      </c>
      <c r="D595" s="43" t="n">
        <v>0.645833333333333</v>
      </c>
      <c r="E595" s="41" t="s">
        <v>92</v>
      </c>
      <c r="F595" s="41" t="s">
        <v>88</v>
      </c>
      <c r="G595" s="41" t="n">
        <v>4</v>
      </c>
      <c r="H595" s="41"/>
      <c r="I595" s="44"/>
      <c r="J595" s="44" t="s">
        <v>100</v>
      </c>
    </row>
    <row r="596" customFormat="false" ht="15" hidden="false" customHeight="false" outlineLevel="0" collapsed="false">
      <c r="B596" s="41" t="s">
        <v>9</v>
      </c>
      <c r="C596" s="42" t="n">
        <v>46226</v>
      </c>
      <c r="D596" s="43" t="n">
        <v>0.708333333333333</v>
      </c>
      <c r="E596" s="41" t="s">
        <v>92</v>
      </c>
      <c r="F596" s="41" t="s">
        <v>88</v>
      </c>
      <c r="G596" s="41" t="n">
        <v>5</v>
      </c>
      <c r="H596" s="41"/>
      <c r="I596" s="44"/>
      <c r="J596" s="44" t="s">
        <v>100</v>
      </c>
    </row>
    <row r="597" customFormat="false" ht="15" hidden="false" customHeight="false" outlineLevel="0" collapsed="false">
      <c r="B597" s="41" t="s">
        <v>9</v>
      </c>
      <c r="C597" s="42" t="n">
        <v>46226</v>
      </c>
      <c r="D597" s="43" t="n">
        <v>0.833333333333333</v>
      </c>
      <c r="E597" s="41"/>
      <c r="F597" s="41" t="s">
        <v>88</v>
      </c>
      <c r="G597" s="41" t="n">
        <v>6</v>
      </c>
      <c r="H597" s="41" t="s">
        <v>98</v>
      </c>
      <c r="I597" s="44"/>
      <c r="J597" s="44" t="s">
        <v>100</v>
      </c>
    </row>
    <row r="598" customFormat="false" ht="15" hidden="false" customHeight="false" outlineLevel="0" collapsed="false">
      <c r="B598" s="41" t="s">
        <v>14</v>
      </c>
      <c r="C598" s="42" t="n">
        <v>46226</v>
      </c>
      <c r="D598" s="43" t="n">
        <v>0.520833333333333</v>
      </c>
      <c r="E598" s="41" t="s">
        <v>102</v>
      </c>
      <c r="F598" s="41" t="s">
        <v>88</v>
      </c>
      <c r="G598" s="41" t="n">
        <v>1</v>
      </c>
      <c r="H598" s="41" t="s">
        <v>103</v>
      </c>
      <c r="I598" s="44"/>
      <c r="J598" s="44" t="s">
        <v>104</v>
      </c>
    </row>
    <row r="599" customFormat="false" ht="15" hidden="false" customHeight="false" outlineLevel="0" collapsed="false">
      <c r="B599" s="41" t="s">
        <v>15</v>
      </c>
      <c r="C599" s="42" t="n">
        <v>46226</v>
      </c>
      <c r="D599" s="43" t="n">
        <v>0.75</v>
      </c>
      <c r="E599" s="41"/>
      <c r="F599" s="41" t="s">
        <v>88</v>
      </c>
      <c r="G599" s="41" t="n">
        <v>1</v>
      </c>
      <c r="H599" s="41" t="s">
        <v>26</v>
      </c>
      <c r="I599" s="44"/>
      <c r="J599" s="44" t="s">
        <v>120</v>
      </c>
    </row>
    <row r="600" customFormat="false" ht="15" hidden="false" customHeight="false" outlineLevel="0" collapsed="false">
      <c r="B600" s="41" t="s">
        <v>16</v>
      </c>
      <c r="C600" s="42" t="n">
        <v>46226</v>
      </c>
      <c r="D600" s="43" t="n">
        <v>0.333333333333333</v>
      </c>
      <c r="E600" s="41"/>
      <c r="F600" s="41" t="s">
        <v>88</v>
      </c>
      <c r="G600" s="41" t="n">
        <v>1</v>
      </c>
      <c r="H600" s="41"/>
      <c r="I600" s="44"/>
      <c r="J600" s="44" t="s">
        <v>105</v>
      </c>
    </row>
    <row r="601" customFormat="false" ht="15" hidden="false" customHeight="false" outlineLevel="0" collapsed="false">
      <c r="B601" s="41" t="s">
        <v>16</v>
      </c>
      <c r="C601" s="42" t="n">
        <v>46226</v>
      </c>
      <c r="D601" s="43" t="n">
        <v>0.5</v>
      </c>
      <c r="E601" s="41"/>
      <c r="F601" s="41" t="s">
        <v>88</v>
      </c>
      <c r="G601" s="41" t="n">
        <v>2</v>
      </c>
      <c r="H601" s="41"/>
      <c r="I601" s="44"/>
      <c r="J601" s="44" t="s">
        <v>105</v>
      </c>
    </row>
    <row r="602" customFormat="false" ht="15" hidden="false" customHeight="false" outlineLevel="0" collapsed="false">
      <c r="B602" s="41" t="s">
        <v>16</v>
      </c>
      <c r="C602" s="42" t="n">
        <v>46226</v>
      </c>
      <c r="D602" s="43" t="n">
        <v>0.583333333333333</v>
      </c>
      <c r="E602" s="41"/>
      <c r="F602" s="41" t="s">
        <v>88</v>
      </c>
      <c r="G602" s="41" t="n">
        <v>3</v>
      </c>
      <c r="H602" s="41" t="s">
        <v>106</v>
      </c>
      <c r="I602" s="44"/>
      <c r="J602" s="44" t="s">
        <v>105</v>
      </c>
    </row>
    <row r="603" customFormat="false" ht="15" hidden="false" customHeight="false" outlineLevel="0" collapsed="false">
      <c r="B603" s="41" t="s">
        <v>16</v>
      </c>
      <c r="C603" s="42" t="n">
        <v>46226</v>
      </c>
      <c r="D603" s="43" t="n">
        <v>0.666666666666667</v>
      </c>
      <c r="E603" s="41"/>
      <c r="F603" s="41" t="s">
        <v>88</v>
      </c>
      <c r="G603" s="41" t="n">
        <v>4</v>
      </c>
      <c r="H603" s="41" t="s">
        <v>106</v>
      </c>
      <c r="I603" s="44"/>
      <c r="J603" s="44" t="s">
        <v>105</v>
      </c>
    </row>
    <row r="604" customFormat="false" ht="15" hidden="false" customHeight="false" outlineLevel="0" collapsed="false">
      <c r="B604" s="41" t="s">
        <v>16</v>
      </c>
      <c r="C604" s="42" t="n">
        <v>46226</v>
      </c>
      <c r="D604" s="43" t="n">
        <v>0.75</v>
      </c>
      <c r="E604" s="41"/>
      <c r="F604" s="41" t="s">
        <v>88</v>
      </c>
      <c r="G604" s="41" t="n">
        <v>5</v>
      </c>
      <c r="H604" s="41" t="s">
        <v>106</v>
      </c>
      <c r="I604" s="44"/>
      <c r="J604" s="44" t="s">
        <v>105</v>
      </c>
    </row>
    <row r="605" customFormat="false" ht="15" hidden="false" customHeight="false" outlineLevel="0" collapsed="false">
      <c r="B605" s="41" t="s">
        <v>8</v>
      </c>
      <c r="C605" s="42" t="n">
        <v>46226</v>
      </c>
      <c r="D605" s="43" t="n">
        <v>0.385416666666667</v>
      </c>
      <c r="E605" s="41" t="s">
        <v>102</v>
      </c>
      <c r="F605" s="41" t="s">
        <v>88</v>
      </c>
      <c r="G605" s="41" t="n">
        <v>1</v>
      </c>
      <c r="H605" s="41"/>
      <c r="I605" s="44"/>
      <c r="J605" s="44" t="s">
        <v>107</v>
      </c>
    </row>
    <row r="606" customFormat="false" ht="15" hidden="false" customHeight="false" outlineLevel="0" collapsed="false">
      <c r="B606" s="41" t="s">
        <v>8</v>
      </c>
      <c r="C606" s="42" t="n">
        <v>46226</v>
      </c>
      <c r="D606" s="43" t="n">
        <v>0.479166666666667</v>
      </c>
      <c r="E606" s="41" t="s">
        <v>109</v>
      </c>
      <c r="F606" s="41" t="s">
        <v>88</v>
      </c>
      <c r="G606" s="41" t="n">
        <v>2</v>
      </c>
      <c r="H606" s="41"/>
      <c r="I606" s="44"/>
      <c r="J606" s="44" t="s">
        <v>107</v>
      </c>
    </row>
    <row r="607" customFormat="false" ht="15" hidden="false" customHeight="false" outlineLevel="0" collapsed="false">
      <c r="B607" s="41" t="s">
        <v>8</v>
      </c>
      <c r="C607" s="42" t="n">
        <v>46226</v>
      </c>
      <c r="D607" s="43" t="n">
        <v>0.520833333333333</v>
      </c>
      <c r="E607" s="41"/>
      <c r="F607" s="41" t="s">
        <v>88</v>
      </c>
      <c r="G607" s="41" t="n">
        <v>3</v>
      </c>
      <c r="H607" s="41" t="s">
        <v>22</v>
      </c>
      <c r="I607" s="44"/>
      <c r="J607" s="44" t="s">
        <v>107</v>
      </c>
    </row>
    <row r="608" customFormat="false" ht="15" hidden="false" customHeight="false" outlineLevel="0" collapsed="false">
      <c r="B608" s="41" t="s">
        <v>8</v>
      </c>
      <c r="C608" s="42" t="n">
        <v>46226</v>
      </c>
      <c r="D608" s="43" t="n">
        <v>0.604166666666667</v>
      </c>
      <c r="E608" s="41"/>
      <c r="F608" s="41" t="s">
        <v>88</v>
      </c>
      <c r="G608" s="41" t="n">
        <v>4</v>
      </c>
      <c r="H608" s="41" t="s">
        <v>23</v>
      </c>
      <c r="I608" s="44"/>
      <c r="J608" s="44" t="s">
        <v>107</v>
      </c>
    </row>
    <row r="609" customFormat="false" ht="15" hidden="false" customHeight="false" outlineLevel="0" collapsed="false">
      <c r="B609" s="41" t="s">
        <v>8</v>
      </c>
      <c r="C609" s="42" t="n">
        <v>46226</v>
      </c>
      <c r="D609" s="43" t="n">
        <v>0.666666666666667</v>
      </c>
      <c r="E609" s="41" t="s">
        <v>92</v>
      </c>
      <c r="F609" s="41" t="s">
        <v>88</v>
      </c>
      <c r="G609" s="41" t="n">
        <v>5</v>
      </c>
      <c r="H609" s="41"/>
      <c r="I609" s="44"/>
      <c r="J609" s="44" t="s">
        <v>107</v>
      </c>
    </row>
    <row r="610" customFormat="false" ht="15" hidden="false" customHeight="false" outlineLevel="0" collapsed="false">
      <c r="B610" s="41" t="s">
        <v>8</v>
      </c>
      <c r="C610" s="42" t="n">
        <v>46226</v>
      </c>
      <c r="D610" s="43" t="n">
        <v>0.729166666666667</v>
      </c>
      <c r="E610" s="41" t="s">
        <v>92</v>
      </c>
      <c r="F610" s="41" t="s">
        <v>88</v>
      </c>
      <c r="G610" s="41" t="n">
        <v>6</v>
      </c>
      <c r="H610" s="41"/>
      <c r="I610" s="44"/>
      <c r="J610" s="44" t="s">
        <v>107</v>
      </c>
    </row>
    <row r="611" customFormat="false" ht="15" hidden="false" customHeight="false" outlineLevel="0" collapsed="false">
      <c r="B611" s="41" t="s">
        <v>8</v>
      </c>
      <c r="C611" s="42" t="n">
        <v>46226</v>
      </c>
      <c r="D611" s="43" t="n">
        <v>0.833333333333333</v>
      </c>
      <c r="E611" s="41"/>
      <c r="F611" s="41" t="s">
        <v>88</v>
      </c>
      <c r="G611" s="41" t="n">
        <v>7</v>
      </c>
      <c r="H611" s="41" t="s">
        <v>98</v>
      </c>
      <c r="I611" s="44"/>
      <c r="J611" s="44" t="s">
        <v>107</v>
      </c>
    </row>
    <row r="612" customFormat="false" ht="15" hidden="false" customHeight="false" outlineLevel="0" collapsed="false">
      <c r="B612" s="41" t="s">
        <v>13</v>
      </c>
      <c r="C612" s="42" t="n">
        <v>46226</v>
      </c>
      <c r="D612" s="43" t="n">
        <v>0.645833333333333</v>
      </c>
      <c r="E612" s="41" t="s">
        <v>92</v>
      </c>
      <c r="F612" s="41" t="s">
        <v>88</v>
      </c>
      <c r="G612" s="41" t="n">
        <v>1</v>
      </c>
      <c r="H612" s="41"/>
      <c r="I612" s="44" t="s">
        <v>134</v>
      </c>
      <c r="J612" s="44" t="s">
        <v>135</v>
      </c>
    </row>
    <row r="613" customFormat="false" ht="15" hidden="false" customHeight="false" outlineLevel="0" collapsed="false">
      <c r="B613" s="41" t="s">
        <v>10</v>
      </c>
      <c r="C613" s="42" t="n">
        <v>46226</v>
      </c>
      <c r="D613" s="43" t="n">
        <v>0.354166666666667</v>
      </c>
      <c r="E613" s="41" t="s">
        <v>93</v>
      </c>
      <c r="F613" s="41" t="s">
        <v>88</v>
      </c>
      <c r="G613" s="41" t="n">
        <v>1</v>
      </c>
      <c r="H613" s="41"/>
      <c r="I613" s="44"/>
      <c r="J613" s="44" t="s">
        <v>125</v>
      </c>
    </row>
    <row r="614" customFormat="false" ht="15" hidden="false" customHeight="false" outlineLevel="0" collapsed="false">
      <c r="B614" s="41" t="s">
        <v>10</v>
      </c>
      <c r="C614" s="42" t="n">
        <v>46226</v>
      </c>
      <c r="D614" s="43" t="n">
        <v>0.46875</v>
      </c>
      <c r="E614" s="41" t="s">
        <v>97</v>
      </c>
      <c r="F614" s="41" t="s">
        <v>88</v>
      </c>
      <c r="G614" s="41" t="n">
        <v>2</v>
      </c>
      <c r="H614" s="41"/>
      <c r="I614" s="44"/>
      <c r="J614" s="44" t="s">
        <v>125</v>
      </c>
    </row>
    <row r="615" customFormat="false" ht="15" hidden="false" customHeight="false" outlineLevel="0" collapsed="false">
      <c r="B615" s="41" t="s">
        <v>10</v>
      </c>
      <c r="C615" s="42" t="n">
        <v>46226</v>
      </c>
      <c r="D615" s="43" t="n">
        <v>0.541666666666667</v>
      </c>
      <c r="E615" s="41"/>
      <c r="F615" s="41" t="s">
        <v>88</v>
      </c>
      <c r="G615" s="41" t="n">
        <v>3</v>
      </c>
      <c r="H615" s="41" t="s">
        <v>23</v>
      </c>
      <c r="I615" s="44"/>
      <c r="J615" s="44" t="s">
        <v>125</v>
      </c>
    </row>
    <row r="616" customFormat="false" ht="15" hidden="false" customHeight="false" outlineLevel="0" collapsed="false">
      <c r="B616" s="41" t="s">
        <v>10</v>
      </c>
      <c r="C616" s="42" t="n">
        <v>46226</v>
      </c>
      <c r="D616" s="43" t="n">
        <v>0.708333333333333</v>
      </c>
      <c r="E616" s="41"/>
      <c r="F616" s="41" t="s">
        <v>88</v>
      </c>
      <c r="G616" s="41" t="n">
        <v>4</v>
      </c>
      <c r="H616" s="41" t="s">
        <v>24</v>
      </c>
      <c r="I616" s="44"/>
      <c r="J616" s="44" t="s">
        <v>125</v>
      </c>
    </row>
    <row r="617" customFormat="false" ht="15" hidden="false" customHeight="false" outlineLevel="0" collapsed="false">
      <c r="B617" s="41" t="s">
        <v>10</v>
      </c>
      <c r="C617" s="42" t="n">
        <v>46226</v>
      </c>
      <c r="D617" s="43" t="n">
        <v>0.833333333333333</v>
      </c>
      <c r="E617" s="41"/>
      <c r="F617" s="41" t="s">
        <v>88</v>
      </c>
      <c r="G617" s="41" t="n">
        <v>5</v>
      </c>
      <c r="H617" s="41" t="s">
        <v>98</v>
      </c>
      <c r="I617" s="44"/>
      <c r="J617" s="44" t="s">
        <v>125</v>
      </c>
    </row>
    <row r="618" customFormat="false" ht="15" hidden="false" customHeight="false" outlineLevel="0" collapsed="false">
      <c r="B618" s="41" t="s">
        <v>12</v>
      </c>
      <c r="C618" s="42" t="n">
        <v>46226</v>
      </c>
      <c r="D618" s="43" t="n">
        <v>0.375</v>
      </c>
      <c r="E618" s="41"/>
      <c r="F618" s="41" t="s">
        <v>88</v>
      </c>
      <c r="G618" s="41" t="n">
        <v>1</v>
      </c>
      <c r="H618" s="41" t="s">
        <v>12</v>
      </c>
      <c r="I618" s="44" t="s">
        <v>114</v>
      </c>
      <c r="J618" s="44" t="s">
        <v>115</v>
      </c>
    </row>
    <row r="619" customFormat="false" ht="15" hidden="false" customHeight="false" outlineLevel="0" collapsed="false">
      <c r="B619" s="41" t="s">
        <v>12</v>
      </c>
      <c r="C619" s="42" t="n">
        <v>46226</v>
      </c>
      <c r="D619" s="43" t="n">
        <v>0.416666666666667</v>
      </c>
      <c r="E619" s="41"/>
      <c r="F619" s="41" t="s">
        <v>88</v>
      </c>
      <c r="G619" s="41" t="n">
        <v>2</v>
      </c>
      <c r="H619" s="41" t="s">
        <v>113</v>
      </c>
      <c r="I619" s="44"/>
      <c r="J619" s="44" t="s">
        <v>115</v>
      </c>
    </row>
    <row r="620" customFormat="false" ht="15" hidden="false" customHeight="false" outlineLevel="0" collapsed="false">
      <c r="B620" s="41" t="s">
        <v>12</v>
      </c>
      <c r="C620" s="42" t="n">
        <v>46226</v>
      </c>
      <c r="D620" s="43" t="n">
        <v>0.5</v>
      </c>
      <c r="E620" s="41"/>
      <c r="F620" s="41" t="s">
        <v>88</v>
      </c>
      <c r="G620" s="41" t="n">
        <v>3</v>
      </c>
      <c r="H620" s="41" t="s">
        <v>12</v>
      </c>
      <c r="I620" s="44"/>
      <c r="J620" s="44" t="s">
        <v>115</v>
      </c>
    </row>
    <row r="621" customFormat="false" ht="15" hidden="false" customHeight="false" outlineLevel="0" collapsed="false">
      <c r="B621" s="41" t="s">
        <v>17</v>
      </c>
      <c r="C621" s="42" t="n">
        <v>46227</v>
      </c>
      <c r="D621" s="43" t="n">
        <v>0.416666666666667</v>
      </c>
      <c r="E621" s="41"/>
      <c r="F621" s="41" t="s">
        <v>88</v>
      </c>
      <c r="G621" s="41" t="n">
        <v>1</v>
      </c>
      <c r="H621" s="41" t="s">
        <v>89</v>
      </c>
      <c r="I621" s="44" t="s">
        <v>122</v>
      </c>
      <c r="J621" s="44" t="s">
        <v>91</v>
      </c>
    </row>
    <row r="622" customFormat="false" ht="15" hidden="false" customHeight="false" outlineLevel="0" collapsed="false">
      <c r="B622" s="41" t="s">
        <v>11</v>
      </c>
      <c r="C622" s="42" t="n">
        <v>46227</v>
      </c>
      <c r="D622" s="43" t="n">
        <v>0.34375</v>
      </c>
      <c r="E622" s="41" t="s">
        <v>93</v>
      </c>
      <c r="F622" s="41" t="s">
        <v>88</v>
      </c>
      <c r="G622" s="41" t="n">
        <v>1</v>
      </c>
      <c r="H622" s="41" t="s">
        <v>94</v>
      </c>
      <c r="I622" s="44" t="s">
        <v>95</v>
      </c>
      <c r="J622" s="44" t="s">
        <v>96</v>
      </c>
    </row>
    <row r="623" customFormat="false" ht="15" hidden="false" customHeight="false" outlineLevel="0" collapsed="false">
      <c r="B623" s="41" t="s">
        <v>11</v>
      </c>
      <c r="C623" s="42" t="n">
        <v>46227</v>
      </c>
      <c r="D623" s="43" t="n">
        <v>0.479166666666667</v>
      </c>
      <c r="E623" s="41" t="s">
        <v>97</v>
      </c>
      <c r="F623" s="41" t="s">
        <v>88</v>
      </c>
      <c r="G623" s="41" t="n">
        <v>2</v>
      </c>
      <c r="H623" s="41" t="s">
        <v>94</v>
      </c>
      <c r="I623" s="44"/>
      <c r="J623" s="44" t="s">
        <v>96</v>
      </c>
    </row>
    <row r="624" customFormat="false" ht="15" hidden="false" customHeight="false" outlineLevel="0" collapsed="false">
      <c r="B624" s="41" t="s">
        <v>11</v>
      </c>
      <c r="C624" s="42" t="n">
        <v>46227</v>
      </c>
      <c r="D624" s="43" t="n">
        <v>0.583333333333333</v>
      </c>
      <c r="E624" s="41"/>
      <c r="F624" s="41" t="s">
        <v>88</v>
      </c>
      <c r="G624" s="41" t="n">
        <v>3</v>
      </c>
      <c r="H624" s="41" t="s">
        <v>23</v>
      </c>
      <c r="I624" s="44"/>
      <c r="J624" s="44" t="s">
        <v>96</v>
      </c>
    </row>
    <row r="625" customFormat="false" ht="15" hidden="false" customHeight="false" outlineLevel="0" collapsed="false">
      <c r="B625" s="41" t="s">
        <v>11</v>
      </c>
      <c r="C625" s="42" t="n">
        <v>46227</v>
      </c>
      <c r="D625" s="43" t="n">
        <v>0.708333333333333</v>
      </c>
      <c r="E625" s="41"/>
      <c r="F625" s="41" t="s">
        <v>88</v>
      </c>
      <c r="G625" s="41" t="n">
        <v>4</v>
      </c>
      <c r="H625" s="41" t="s">
        <v>24</v>
      </c>
      <c r="I625" s="44"/>
      <c r="J625" s="44" t="s">
        <v>96</v>
      </c>
    </row>
    <row r="626" customFormat="false" ht="15" hidden="false" customHeight="false" outlineLevel="0" collapsed="false">
      <c r="B626" s="41" t="s">
        <v>11</v>
      </c>
      <c r="C626" s="42" t="n">
        <v>46227</v>
      </c>
      <c r="D626" s="43" t="n">
        <v>0.833333333333333</v>
      </c>
      <c r="E626" s="41"/>
      <c r="F626" s="41" t="s">
        <v>88</v>
      </c>
      <c r="G626" s="41" t="n">
        <v>5</v>
      </c>
      <c r="H626" s="41" t="s">
        <v>98</v>
      </c>
      <c r="I626" s="44"/>
      <c r="J626" s="44" t="s">
        <v>96</v>
      </c>
    </row>
    <row r="627" customFormat="false" ht="15" hidden="false" customHeight="false" outlineLevel="0" collapsed="false">
      <c r="B627" s="41" t="s">
        <v>9</v>
      </c>
      <c r="C627" s="42" t="n">
        <v>46227</v>
      </c>
      <c r="D627" s="43" t="n">
        <v>0.354166666666667</v>
      </c>
      <c r="E627" s="41" t="s">
        <v>93</v>
      </c>
      <c r="F627" s="41" t="s">
        <v>88</v>
      </c>
      <c r="G627" s="41" t="n">
        <v>1</v>
      </c>
      <c r="H627" s="41" t="s">
        <v>94</v>
      </c>
      <c r="I627" s="44"/>
      <c r="J627" s="44" t="s">
        <v>100</v>
      </c>
    </row>
    <row r="628" customFormat="false" ht="15" hidden="false" customHeight="false" outlineLevel="0" collapsed="false">
      <c r="B628" s="41" t="s">
        <v>9</v>
      </c>
      <c r="C628" s="42" t="n">
        <v>46227</v>
      </c>
      <c r="D628" s="43" t="n">
        <v>0.458333333333333</v>
      </c>
      <c r="E628" s="41" t="s">
        <v>97</v>
      </c>
      <c r="F628" s="41" t="s">
        <v>88</v>
      </c>
      <c r="G628" s="41" t="n">
        <v>2</v>
      </c>
      <c r="H628" s="41" t="s">
        <v>94</v>
      </c>
      <c r="I628" s="44"/>
      <c r="J628" s="44" t="s">
        <v>100</v>
      </c>
    </row>
    <row r="629" customFormat="false" ht="15" hidden="false" customHeight="false" outlineLevel="0" collapsed="false">
      <c r="B629" s="41" t="s">
        <v>9</v>
      </c>
      <c r="C629" s="42" t="n">
        <v>46227</v>
      </c>
      <c r="D629" s="43" t="n">
        <v>0.541666666666667</v>
      </c>
      <c r="E629" s="41"/>
      <c r="F629" s="41" t="s">
        <v>88</v>
      </c>
      <c r="G629" s="41" t="n">
        <v>3</v>
      </c>
      <c r="H629" s="41" t="s">
        <v>23</v>
      </c>
      <c r="I629" s="44"/>
      <c r="J629" s="44" t="s">
        <v>100</v>
      </c>
    </row>
    <row r="630" customFormat="false" ht="15" hidden="false" customHeight="false" outlineLevel="0" collapsed="false">
      <c r="B630" s="41" t="s">
        <v>9</v>
      </c>
      <c r="C630" s="42" t="n">
        <v>46227</v>
      </c>
      <c r="D630" s="43" t="n">
        <v>0.708333333333333</v>
      </c>
      <c r="E630" s="41"/>
      <c r="F630" s="41" t="s">
        <v>88</v>
      </c>
      <c r="G630" s="41" t="n">
        <v>4</v>
      </c>
      <c r="H630" s="41" t="s">
        <v>24</v>
      </c>
      <c r="I630" s="44"/>
      <c r="J630" s="44" t="s">
        <v>100</v>
      </c>
    </row>
    <row r="631" customFormat="false" ht="15" hidden="false" customHeight="false" outlineLevel="0" collapsed="false">
      <c r="B631" s="41" t="s">
        <v>9</v>
      </c>
      <c r="C631" s="42" t="n">
        <v>46227</v>
      </c>
      <c r="D631" s="43" t="n">
        <v>0.833333333333333</v>
      </c>
      <c r="E631" s="41"/>
      <c r="F631" s="41" t="s">
        <v>88</v>
      </c>
      <c r="G631" s="41" t="n">
        <v>5</v>
      </c>
      <c r="H631" s="41" t="s">
        <v>98</v>
      </c>
      <c r="I631" s="44"/>
      <c r="J631" s="44" t="s">
        <v>100</v>
      </c>
    </row>
    <row r="632" customFormat="false" ht="15" hidden="false" customHeight="false" outlineLevel="0" collapsed="false">
      <c r="B632" s="41" t="s">
        <v>14</v>
      </c>
      <c r="C632" s="42" t="n">
        <v>46227</v>
      </c>
      <c r="D632" s="43" t="n">
        <v>0.520833333333333</v>
      </c>
      <c r="E632" s="41" t="s">
        <v>102</v>
      </c>
      <c r="F632" s="41" t="s">
        <v>88</v>
      </c>
      <c r="G632" s="41" t="n">
        <v>1</v>
      </c>
      <c r="H632" s="41" t="s">
        <v>103</v>
      </c>
      <c r="I632" s="44"/>
      <c r="J632" s="44" t="s">
        <v>104</v>
      </c>
    </row>
    <row r="633" customFormat="false" ht="15" hidden="false" customHeight="false" outlineLevel="0" collapsed="false">
      <c r="B633" s="41" t="s">
        <v>15</v>
      </c>
      <c r="C633" s="42" t="n">
        <v>46227</v>
      </c>
      <c r="D633" s="43" t="n">
        <v>0.75</v>
      </c>
      <c r="E633" s="41"/>
      <c r="F633" s="41" t="s">
        <v>88</v>
      </c>
      <c r="G633" s="41" t="n">
        <v>1</v>
      </c>
      <c r="H633" s="41" t="s">
        <v>26</v>
      </c>
      <c r="I633" s="44"/>
      <c r="J633" s="44" t="s">
        <v>120</v>
      </c>
    </row>
    <row r="634" customFormat="false" ht="15" hidden="false" customHeight="false" outlineLevel="0" collapsed="false">
      <c r="B634" s="41" t="s">
        <v>16</v>
      </c>
      <c r="C634" s="42" t="n">
        <v>46227</v>
      </c>
      <c r="D634" s="43" t="n">
        <v>0.333333333333333</v>
      </c>
      <c r="E634" s="41"/>
      <c r="F634" s="41" t="s">
        <v>88</v>
      </c>
      <c r="G634" s="41" t="n">
        <v>1</v>
      </c>
      <c r="H634" s="41"/>
      <c r="I634" s="44"/>
      <c r="J634" s="44" t="s">
        <v>105</v>
      </c>
    </row>
    <row r="635" customFormat="false" ht="15" hidden="false" customHeight="false" outlineLevel="0" collapsed="false">
      <c r="B635" s="41" t="s">
        <v>16</v>
      </c>
      <c r="C635" s="42" t="n">
        <v>46227</v>
      </c>
      <c r="D635" s="43" t="n">
        <v>0.5</v>
      </c>
      <c r="E635" s="41"/>
      <c r="F635" s="41" t="s">
        <v>88</v>
      </c>
      <c r="G635" s="41" t="n">
        <v>2</v>
      </c>
      <c r="H635" s="41"/>
      <c r="I635" s="44"/>
      <c r="J635" s="44" t="s">
        <v>105</v>
      </c>
    </row>
    <row r="636" customFormat="false" ht="15" hidden="false" customHeight="false" outlineLevel="0" collapsed="false">
      <c r="B636" s="41" t="s">
        <v>16</v>
      </c>
      <c r="C636" s="42" t="n">
        <v>46227</v>
      </c>
      <c r="D636" s="43" t="n">
        <v>0.583333333333333</v>
      </c>
      <c r="E636" s="41"/>
      <c r="F636" s="41" t="s">
        <v>88</v>
      </c>
      <c r="G636" s="41" t="n">
        <v>3</v>
      </c>
      <c r="H636" s="41" t="s">
        <v>106</v>
      </c>
      <c r="I636" s="44"/>
      <c r="J636" s="44" t="s">
        <v>105</v>
      </c>
    </row>
    <row r="637" customFormat="false" ht="15" hidden="false" customHeight="false" outlineLevel="0" collapsed="false">
      <c r="B637" s="41" t="s">
        <v>16</v>
      </c>
      <c r="C637" s="42" t="n">
        <v>46227</v>
      </c>
      <c r="D637" s="43" t="n">
        <v>0.666666666666667</v>
      </c>
      <c r="E637" s="41"/>
      <c r="F637" s="41" t="s">
        <v>88</v>
      </c>
      <c r="G637" s="41" t="n">
        <v>4</v>
      </c>
      <c r="H637" s="41" t="s">
        <v>106</v>
      </c>
      <c r="I637" s="44"/>
      <c r="J637" s="44" t="s">
        <v>105</v>
      </c>
    </row>
    <row r="638" customFormat="false" ht="15" hidden="false" customHeight="false" outlineLevel="0" collapsed="false">
      <c r="B638" s="41" t="s">
        <v>16</v>
      </c>
      <c r="C638" s="42" t="n">
        <v>46227</v>
      </c>
      <c r="D638" s="43" t="n">
        <v>0.75</v>
      </c>
      <c r="E638" s="41"/>
      <c r="F638" s="41" t="s">
        <v>88</v>
      </c>
      <c r="G638" s="41" t="n">
        <v>5</v>
      </c>
      <c r="H638" s="41" t="s">
        <v>106</v>
      </c>
      <c r="I638" s="44"/>
      <c r="J638" s="44" t="s">
        <v>105</v>
      </c>
    </row>
    <row r="639" customFormat="false" ht="15" hidden="false" customHeight="false" outlineLevel="0" collapsed="false">
      <c r="B639" s="41" t="s">
        <v>8</v>
      </c>
      <c r="C639" s="42" t="n">
        <v>46227</v>
      </c>
      <c r="D639" s="43" t="n">
        <v>0.354166666666667</v>
      </c>
      <c r="E639" s="41" t="s">
        <v>93</v>
      </c>
      <c r="F639" s="41" t="s">
        <v>88</v>
      </c>
      <c r="G639" s="41" t="n">
        <v>1</v>
      </c>
      <c r="H639" s="41" t="s">
        <v>94</v>
      </c>
      <c r="I639" s="44"/>
      <c r="J639" s="44" t="s">
        <v>107</v>
      </c>
    </row>
    <row r="640" customFormat="false" ht="15" hidden="false" customHeight="false" outlineLevel="0" collapsed="false">
      <c r="B640" s="41" t="s">
        <v>8</v>
      </c>
      <c r="C640" s="42" t="n">
        <v>46227</v>
      </c>
      <c r="D640" s="43" t="n">
        <v>0.458333333333333</v>
      </c>
      <c r="E640" s="41" t="s">
        <v>97</v>
      </c>
      <c r="F640" s="41" t="s">
        <v>88</v>
      </c>
      <c r="G640" s="41" t="n">
        <v>2</v>
      </c>
      <c r="H640" s="41" t="s">
        <v>94</v>
      </c>
      <c r="I640" s="44"/>
      <c r="J640" s="44" t="s">
        <v>107</v>
      </c>
    </row>
    <row r="641" customFormat="false" ht="15" hidden="false" customHeight="false" outlineLevel="0" collapsed="false">
      <c r="B641" s="41" t="s">
        <v>8</v>
      </c>
      <c r="C641" s="42" t="n">
        <v>46227</v>
      </c>
      <c r="D641" s="43" t="n">
        <v>0.520833333333333</v>
      </c>
      <c r="E641" s="41"/>
      <c r="F641" s="41" t="s">
        <v>88</v>
      </c>
      <c r="G641" s="41" t="n">
        <v>3</v>
      </c>
      <c r="H641" s="41" t="s">
        <v>22</v>
      </c>
      <c r="I641" s="44"/>
      <c r="J641" s="44" t="s">
        <v>107</v>
      </c>
    </row>
    <row r="642" customFormat="false" ht="15" hidden="false" customHeight="false" outlineLevel="0" collapsed="false">
      <c r="B642" s="41" t="s">
        <v>8</v>
      </c>
      <c r="C642" s="42" t="n">
        <v>46227</v>
      </c>
      <c r="D642" s="43" t="n">
        <v>0.5625</v>
      </c>
      <c r="E642" s="41"/>
      <c r="F642" s="41" t="s">
        <v>88</v>
      </c>
      <c r="G642" s="41" t="n">
        <v>4</v>
      </c>
      <c r="H642" s="41" t="s">
        <v>23</v>
      </c>
      <c r="I642" s="44"/>
      <c r="J642" s="44" t="s">
        <v>107</v>
      </c>
    </row>
    <row r="643" customFormat="false" ht="15" hidden="false" customHeight="false" outlineLevel="0" collapsed="false">
      <c r="B643" s="41" t="s">
        <v>8</v>
      </c>
      <c r="C643" s="42" t="n">
        <v>46227</v>
      </c>
      <c r="D643" s="43" t="n">
        <v>0.708333333333333</v>
      </c>
      <c r="E643" s="41"/>
      <c r="F643" s="41" t="s">
        <v>88</v>
      </c>
      <c r="G643" s="41" t="n">
        <v>5</v>
      </c>
      <c r="H643" s="41" t="s">
        <v>24</v>
      </c>
      <c r="I643" s="44"/>
      <c r="J643" s="44" t="s">
        <v>107</v>
      </c>
    </row>
    <row r="644" customFormat="false" ht="15" hidden="false" customHeight="false" outlineLevel="0" collapsed="false">
      <c r="B644" s="41" t="s">
        <v>8</v>
      </c>
      <c r="C644" s="42" t="n">
        <v>46227</v>
      </c>
      <c r="D644" s="43" t="n">
        <v>0.833333333333333</v>
      </c>
      <c r="E644" s="41"/>
      <c r="F644" s="41" t="s">
        <v>88</v>
      </c>
      <c r="G644" s="41" t="n">
        <v>6</v>
      </c>
      <c r="H644" s="41" t="s">
        <v>98</v>
      </c>
      <c r="I644" s="44"/>
      <c r="J644" s="44" t="s">
        <v>107</v>
      </c>
    </row>
    <row r="645" customFormat="false" ht="15" hidden="false" customHeight="false" outlineLevel="0" collapsed="false">
      <c r="B645" s="41" t="s">
        <v>10</v>
      </c>
      <c r="C645" s="42" t="n">
        <v>46227</v>
      </c>
      <c r="D645" s="43" t="n">
        <v>0.375</v>
      </c>
      <c r="E645" s="41" t="s">
        <v>102</v>
      </c>
      <c r="F645" s="41" t="s">
        <v>88</v>
      </c>
      <c r="G645" s="41" t="n">
        <v>1</v>
      </c>
      <c r="H645" s="41" t="s">
        <v>94</v>
      </c>
      <c r="I645" s="44"/>
      <c r="J645" s="44" t="s">
        <v>125</v>
      </c>
    </row>
    <row r="646" customFormat="false" ht="15" hidden="false" customHeight="false" outlineLevel="0" collapsed="false">
      <c r="B646" s="41" t="s">
        <v>10</v>
      </c>
      <c r="C646" s="42" t="n">
        <v>46227</v>
      </c>
      <c r="D646" s="43" t="n">
        <v>0.46875</v>
      </c>
      <c r="E646" s="41" t="s">
        <v>109</v>
      </c>
      <c r="F646" s="41" t="s">
        <v>88</v>
      </c>
      <c r="G646" s="41" t="n">
        <v>2</v>
      </c>
      <c r="H646" s="41" t="s">
        <v>94</v>
      </c>
      <c r="I646" s="44"/>
      <c r="J646" s="44" t="s">
        <v>125</v>
      </c>
    </row>
    <row r="647" customFormat="false" ht="15" hidden="false" customHeight="false" outlineLevel="0" collapsed="false">
      <c r="B647" s="41" t="s">
        <v>10</v>
      </c>
      <c r="C647" s="42" t="n">
        <v>46227</v>
      </c>
      <c r="D647" s="43" t="n">
        <v>0.541666666666667</v>
      </c>
      <c r="E647" s="41"/>
      <c r="F647" s="41" t="s">
        <v>88</v>
      </c>
      <c r="G647" s="41" t="n">
        <v>3</v>
      </c>
      <c r="H647" s="41" t="s">
        <v>23</v>
      </c>
      <c r="I647" s="44"/>
      <c r="J647" s="44" t="s">
        <v>125</v>
      </c>
    </row>
    <row r="648" customFormat="false" ht="15" hidden="false" customHeight="false" outlineLevel="0" collapsed="false">
      <c r="B648" s="41" t="s">
        <v>10</v>
      </c>
      <c r="C648" s="42" t="n">
        <v>46227</v>
      </c>
      <c r="D648" s="43" t="n">
        <v>0.708333333333333</v>
      </c>
      <c r="E648" s="41"/>
      <c r="F648" s="41" t="s">
        <v>88</v>
      </c>
      <c r="G648" s="41" t="n">
        <v>4</v>
      </c>
      <c r="H648" s="41" t="s">
        <v>24</v>
      </c>
      <c r="I648" s="44"/>
      <c r="J648" s="44" t="s">
        <v>125</v>
      </c>
    </row>
    <row r="649" customFormat="false" ht="15" hidden="false" customHeight="false" outlineLevel="0" collapsed="false">
      <c r="B649" s="41" t="s">
        <v>10</v>
      </c>
      <c r="C649" s="42" t="n">
        <v>46227</v>
      </c>
      <c r="D649" s="43" t="n">
        <v>0.833333333333333</v>
      </c>
      <c r="E649" s="41"/>
      <c r="F649" s="41" t="s">
        <v>88</v>
      </c>
      <c r="G649" s="41" t="n">
        <v>5</v>
      </c>
      <c r="H649" s="41" t="s">
        <v>98</v>
      </c>
      <c r="I649" s="44"/>
      <c r="J649" s="44" t="s">
        <v>125</v>
      </c>
    </row>
    <row r="650" customFormat="false" ht="15" hidden="false" customHeight="false" outlineLevel="0" collapsed="false">
      <c r="B650" s="41" t="s">
        <v>12</v>
      </c>
      <c r="C650" s="42" t="n">
        <v>46227</v>
      </c>
      <c r="D650" s="43" t="n">
        <v>0.34375</v>
      </c>
      <c r="E650" s="41"/>
      <c r="F650" s="41" t="s">
        <v>88</v>
      </c>
      <c r="G650" s="41" t="n">
        <v>1</v>
      </c>
      <c r="H650" s="41" t="s">
        <v>12</v>
      </c>
      <c r="I650" s="44" t="s">
        <v>114</v>
      </c>
      <c r="J650" s="44" t="s">
        <v>115</v>
      </c>
    </row>
    <row r="651" customFormat="false" ht="15" hidden="false" customHeight="false" outlineLevel="0" collapsed="false">
      <c r="B651" s="41" t="s">
        <v>12</v>
      </c>
      <c r="C651" s="42" t="n">
        <v>46227</v>
      </c>
      <c r="D651" s="43" t="n">
        <v>0.416666666666667</v>
      </c>
      <c r="E651" s="41"/>
      <c r="F651" s="41" t="s">
        <v>88</v>
      </c>
      <c r="G651" s="41" t="n">
        <v>2</v>
      </c>
      <c r="H651" s="41" t="s">
        <v>12</v>
      </c>
      <c r="I651" s="44"/>
      <c r="J651" s="44" t="s">
        <v>115</v>
      </c>
    </row>
    <row r="652" customFormat="false" ht="15" hidden="false" customHeight="false" outlineLevel="0" collapsed="false">
      <c r="B652" s="41" t="s">
        <v>12</v>
      </c>
      <c r="C652" s="42" t="n">
        <v>46227</v>
      </c>
      <c r="D652" s="43" t="n">
        <v>0.5</v>
      </c>
      <c r="E652" s="41"/>
      <c r="F652" s="41" t="s">
        <v>88</v>
      </c>
      <c r="G652" s="41" t="n">
        <v>3</v>
      </c>
      <c r="H652" s="41" t="s">
        <v>113</v>
      </c>
      <c r="I652" s="44"/>
      <c r="J652" s="44" t="s">
        <v>115</v>
      </c>
    </row>
    <row r="653" customFormat="false" ht="15" hidden="false" customHeight="false" outlineLevel="0" collapsed="false">
      <c r="B653" s="41" t="s">
        <v>12</v>
      </c>
      <c r="C653" s="42" t="n">
        <v>46227</v>
      </c>
      <c r="D653" s="43" t="n">
        <v>0.583333333333333</v>
      </c>
      <c r="E653" s="41"/>
      <c r="F653" s="41" t="s">
        <v>88</v>
      </c>
      <c r="G653" s="41" t="n">
        <v>4</v>
      </c>
      <c r="H653" s="41" t="s">
        <v>12</v>
      </c>
      <c r="I653" s="44"/>
      <c r="J653" s="44" t="s">
        <v>115</v>
      </c>
    </row>
    <row r="654" customFormat="false" ht="15" hidden="false" customHeight="false" outlineLevel="0" collapsed="false">
      <c r="B654" s="41" t="s">
        <v>17</v>
      </c>
      <c r="C654" s="42" t="n">
        <v>46228</v>
      </c>
      <c r="D654" s="43" t="n">
        <v>0.458333333333333</v>
      </c>
      <c r="E654" s="41"/>
      <c r="F654" s="41" t="s">
        <v>88</v>
      </c>
      <c r="G654" s="41" t="n">
        <v>1</v>
      </c>
      <c r="H654" s="41" t="s">
        <v>89</v>
      </c>
      <c r="I654" s="44" t="s">
        <v>116</v>
      </c>
      <c r="J654" s="44" t="s">
        <v>91</v>
      </c>
    </row>
    <row r="655" customFormat="false" ht="15" hidden="false" customHeight="false" outlineLevel="0" collapsed="false">
      <c r="B655" s="41" t="s">
        <v>11</v>
      </c>
      <c r="C655" s="42" t="n">
        <v>46228</v>
      </c>
      <c r="D655" s="43" t="n">
        <v>0.416666666666667</v>
      </c>
      <c r="E655" s="41"/>
      <c r="F655" s="41" t="s">
        <v>88</v>
      </c>
      <c r="G655" s="41" t="n">
        <v>1</v>
      </c>
      <c r="H655" s="41" t="s">
        <v>24</v>
      </c>
      <c r="I655" s="44"/>
      <c r="J655" s="44" t="s">
        <v>96</v>
      </c>
    </row>
    <row r="656" customFormat="false" ht="15" hidden="false" customHeight="false" outlineLevel="0" collapsed="false">
      <c r="B656" s="41" t="s">
        <v>11</v>
      </c>
      <c r="C656" s="42" t="n">
        <v>46228</v>
      </c>
      <c r="D656" s="43" t="n">
        <v>0.666666666666667</v>
      </c>
      <c r="E656" s="41"/>
      <c r="F656" s="41" t="s">
        <v>88</v>
      </c>
      <c r="G656" s="41" t="n">
        <v>2</v>
      </c>
      <c r="H656" s="41" t="s">
        <v>24</v>
      </c>
      <c r="I656" s="44"/>
      <c r="J656" s="44" t="s">
        <v>96</v>
      </c>
    </row>
    <row r="657" customFormat="false" ht="15" hidden="false" customHeight="false" outlineLevel="0" collapsed="false">
      <c r="B657" s="41" t="s">
        <v>9</v>
      </c>
      <c r="C657" s="42" t="n">
        <v>46228</v>
      </c>
      <c r="D657" s="43" t="n">
        <v>0.416666666666667</v>
      </c>
      <c r="E657" s="41"/>
      <c r="F657" s="41" t="s">
        <v>88</v>
      </c>
      <c r="G657" s="41" t="n">
        <v>1</v>
      </c>
      <c r="H657" s="41" t="s">
        <v>24</v>
      </c>
      <c r="I657" s="44"/>
      <c r="J657" s="44" t="s">
        <v>100</v>
      </c>
    </row>
    <row r="658" customFormat="false" ht="15" hidden="false" customHeight="false" outlineLevel="0" collapsed="false">
      <c r="B658" s="41" t="s">
        <v>15</v>
      </c>
      <c r="C658" s="42" t="n">
        <v>46228</v>
      </c>
      <c r="D658" s="43" t="n">
        <v>0.416666666666667</v>
      </c>
      <c r="E658" s="41"/>
      <c r="F658" s="41" t="s">
        <v>88</v>
      </c>
      <c r="G658" s="41" t="n">
        <v>1</v>
      </c>
      <c r="H658" s="41" t="s">
        <v>26</v>
      </c>
      <c r="I658" s="44"/>
      <c r="J658" s="44" t="s">
        <v>120</v>
      </c>
    </row>
    <row r="659" customFormat="false" ht="15" hidden="false" customHeight="false" outlineLevel="0" collapsed="false">
      <c r="B659" s="41" t="s">
        <v>8</v>
      </c>
      <c r="C659" s="42" t="n">
        <v>46228</v>
      </c>
      <c r="D659" s="43" t="n">
        <v>0.416666666666667</v>
      </c>
      <c r="E659" s="41"/>
      <c r="F659" s="41" t="s">
        <v>88</v>
      </c>
      <c r="G659" s="41" t="n">
        <v>1</v>
      </c>
      <c r="H659" s="41" t="s">
        <v>24</v>
      </c>
      <c r="I659" s="44"/>
      <c r="J659" s="44" t="s">
        <v>107</v>
      </c>
    </row>
    <row r="660" customFormat="false" ht="15" hidden="false" customHeight="false" outlineLevel="0" collapsed="false">
      <c r="B660" s="41" t="s">
        <v>8</v>
      </c>
      <c r="C660" s="42" t="n">
        <v>46228</v>
      </c>
      <c r="D660" s="43" t="n">
        <v>0.666666666666667</v>
      </c>
      <c r="E660" s="41"/>
      <c r="F660" s="41" t="s">
        <v>88</v>
      </c>
      <c r="G660" s="41" t="n">
        <v>2</v>
      </c>
      <c r="H660" s="41" t="s">
        <v>24</v>
      </c>
      <c r="I660" s="44"/>
      <c r="J660" s="44" t="s">
        <v>107</v>
      </c>
    </row>
    <row r="661" customFormat="false" ht="15" hidden="false" customHeight="false" outlineLevel="0" collapsed="false">
      <c r="B661" s="41" t="s">
        <v>10</v>
      </c>
      <c r="C661" s="42" t="n">
        <v>46228</v>
      </c>
      <c r="D661" s="43" t="n">
        <v>0.416666666666667</v>
      </c>
      <c r="E661" s="41"/>
      <c r="F661" s="41" t="s">
        <v>88</v>
      </c>
      <c r="G661" s="41" t="n">
        <v>1</v>
      </c>
      <c r="H661" s="41" t="s">
        <v>24</v>
      </c>
      <c r="I661" s="44"/>
      <c r="J661" s="44" t="s">
        <v>125</v>
      </c>
    </row>
    <row r="662" customFormat="false" ht="15" hidden="false" customHeight="false" outlineLevel="0" collapsed="false">
      <c r="B662" s="41" t="s">
        <v>11</v>
      </c>
      <c r="C662" s="42" t="n">
        <v>46229</v>
      </c>
      <c r="D662" s="43" t="n">
        <v>0.666666666666667</v>
      </c>
      <c r="E662" s="41"/>
      <c r="F662" s="41" t="s">
        <v>88</v>
      </c>
      <c r="G662" s="41" t="n">
        <v>1</v>
      </c>
      <c r="H662" s="41" t="s">
        <v>24</v>
      </c>
      <c r="I662" s="44"/>
      <c r="J662" s="44" t="s">
        <v>96</v>
      </c>
    </row>
    <row r="663" customFormat="false" ht="15" hidden="false" customHeight="false" outlineLevel="0" collapsed="false">
      <c r="B663" s="41" t="s">
        <v>8</v>
      </c>
      <c r="C663" s="42" t="n">
        <v>46229</v>
      </c>
      <c r="D663" s="43" t="n">
        <v>0.666666666666667</v>
      </c>
      <c r="E663" s="41"/>
      <c r="F663" s="41" t="s">
        <v>88</v>
      </c>
      <c r="G663" s="41" t="n">
        <v>1</v>
      </c>
      <c r="H663" s="41" t="s">
        <v>24</v>
      </c>
      <c r="I663" s="44"/>
      <c r="J663" s="44" t="s">
        <v>107</v>
      </c>
    </row>
    <row r="664" customFormat="false" ht="15" hidden="false" customHeight="false" outlineLevel="0" collapsed="false">
      <c r="B664" s="41" t="s">
        <v>17</v>
      </c>
      <c r="C664" s="42" t="n">
        <v>46230</v>
      </c>
      <c r="D664" s="43" t="n">
        <v>0.416666666666667</v>
      </c>
      <c r="E664" s="41"/>
      <c r="F664" s="41" t="s">
        <v>88</v>
      </c>
      <c r="G664" s="41" t="n">
        <v>1</v>
      </c>
      <c r="H664" s="41" t="s">
        <v>89</v>
      </c>
      <c r="I664" s="44" t="s">
        <v>126</v>
      </c>
      <c r="J664" s="44" t="s">
        <v>91</v>
      </c>
    </row>
    <row r="665" customFormat="false" ht="15" hidden="false" customHeight="false" outlineLevel="0" collapsed="false">
      <c r="B665" s="41" t="s">
        <v>17</v>
      </c>
      <c r="C665" s="42" t="n">
        <v>46230</v>
      </c>
      <c r="D665" s="43" t="n">
        <v>0.583333333333333</v>
      </c>
      <c r="E665" s="41" t="s">
        <v>92</v>
      </c>
      <c r="F665" s="41" t="s">
        <v>88</v>
      </c>
      <c r="G665" s="41" t="n">
        <v>2</v>
      </c>
      <c r="H665" s="41"/>
      <c r="I665" s="44" t="s">
        <v>126</v>
      </c>
      <c r="J665" s="44" t="s">
        <v>91</v>
      </c>
    </row>
    <row r="666" customFormat="false" ht="15" hidden="false" customHeight="false" outlineLevel="0" collapsed="false">
      <c r="B666" s="41" t="s">
        <v>11</v>
      </c>
      <c r="C666" s="42" t="n">
        <v>46230</v>
      </c>
      <c r="D666" s="43" t="n">
        <v>0.385416666666667</v>
      </c>
      <c r="E666" s="41" t="s">
        <v>102</v>
      </c>
      <c r="F666" s="41" t="s">
        <v>88</v>
      </c>
      <c r="G666" s="41" t="n">
        <v>1</v>
      </c>
      <c r="H666" s="41" t="s">
        <v>94</v>
      </c>
      <c r="I666" s="44" t="s">
        <v>95</v>
      </c>
      <c r="J666" s="44" t="s">
        <v>96</v>
      </c>
    </row>
    <row r="667" customFormat="false" ht="15" hidden="false" customHeight="false" outlineLevel="0" collapsed="false">
      <c r="B667" s="41" t="s">
        <v>11</v>
      </c>
      <c r="C667" s="42" t="n">
        <v>46230</v>
      </c>
      <c r="D667" s="43" t="n">
        <v>0.458333333333333</v>
      </c>
      <c r="E667" s="41" t="s">
        <v>109</v>
      </c>
      <c r="F667" s="41" t="s">
        <v>88</v>
      </c>
      <c r="G667" s="41" t="n">
        <v>2</v>
      </c>
      <c r="H667" s="41" t="s">
        <v>94</v>
      </c>
      <c r="I667" s="44"/>
      <c r="J667" s="44" t="s">
        <v>96</v>
      </c>
    </row>
    <row r="668" customFormat="false" ht="15" hidden="false" customHeight="false" outlineLevel="0" collapsed="false">
      <c r="B668" s="41" t="s">
        <v>11</v>
      </c>
      <c r="C668" s="42" t="n">
        <v>46230</v>
      </c>
      <c r="D668" s="43" t="n">
        <v>0.583333333333333</v>
      </c>
      <c r="E668" s="41"/>
      <c r="F668" s="41" t="s">
        <v>88</v>
      </c>
      <c r="G668" s="41" t="n">
        <v>3</v>
      </c>
      <c r="H668" s="41" t="s">
        <v>23</v>
      </c>
      <c r="I668" s="44"/>
      <c r="J668" s="44" t="s">
        <v>96</v>
      </c>
    </row>
    <row r="669" customFormat="false" ht="15" hidden="false" customHeight="false" outlineLevel="0" collapsed="false">
      <c r="B669" s="41" t="s">
        <v>11</v>
      </c>
      <c r="C669" s="42" t="n">
        <v>46230</v>
      </c>
      <c r="D669" s="43" t="n">
        <v>0.708333333333333</v>
      </c>
      <c r="E669" s="41"/>
      <c r="F669" s="41" t="s">
        <v>88</v>
      </c>
      <c r="G669" s="41" t="n">
        <v>4</v>
      </c>
      <c r="H669" s="41" t="s">
        <v>24</v>
      </c>
      <c r="I669" s="44"/>
      <c r="J669" s="44" t="s">
        <v>96</v>
      </c>
    </row>
    <row r="670" customFormat="false" ht="15" hidden="false" customHeight="false" outlineLevel="0" collapsed="false">
      <c r="B670" s="41" t="s">
        <v>11</v>
      </c>
      <c r="C670" s="42" t="n">
        <v>46230</v>
      </c>
      <c r="D670" s="43" t="n">
        <v>0.833333333333333</v>
      </c>
      <c r="E670" s="41"/>
      <c r="F670" s="41" t="s">
        <v>88</v>
      </c>
      <c r="G670" s="41" t="n">
        <v>5</v>
      </c>
      <c r="H670" s="41" t="s">
        <v>98</v>
      </c>
      <c r="I670" s="44"/>
      <c r="J670" s="44" t="s">
        <v>96</v>
      </c>
    </row>
    <row r="671" customFormat="false" ht="15" hidden="false" customHeight="false" outlineLevel="0" collapsed="false">
      <c r="B671" s="41" t="s">
        <v>9</v>
      </c>
      <c r="C671" s="42" t="n">
        <v>46230</v>
      </c>
      <c r="D671" s="43" t="n">
        <v>0.416666666666667</v>
      </c>
      <c r="E671" s="41" t="s">
        <v>99</v>
      </c>
      <c r="F671" s="41" t="s">
        <v>88</v>
      </c>
      <c r="G671" s="41" t="n">
        <v>1</v>
      </c>
      <c r="H671" s="41" t="s">
        <v>94</v>
      </c>
      <c r="I671" s="44"/>
      <c r="J671" s="44" t="s">
        <v>100</v>
      </c>
    </row>
    <row r="672" customFormat="false" ht="15" hidden="false" customHeight="false" outlineLevel="0" collapsed="false">
      <c r="B672" s="41" t="s">
        <v>9</v>
      </c>
      <c r="C672" s="42" t="n">
        <v>46230</v>
      </c>
      <c r="D672" s="43" t="n">
        <v>0.479166666666667</v>
      </c>
      <c r="E672" s="41" t="s">
        <v>101</v>
      </c>
      <c r="F672" s="41" t="s">
        <v>88</v>
      </c>
      <c r="G672" s="41" t="n">
        <v>2</v>
      </c>
      <c r="H672" s="41" t="s">
        <v>94</v>
      </c>
      <c r="I672" s="44"/>
      <c r="J672" s="44" t="s">
        <v>100</v>
      </c>
    </row>
    <row r="673" customFormat="false" ht="15" hidden="false" customHeight="false" outlineLevel="0" collapsed="false">
      <c r="B673" s="41" t="s">
        <v>9</v>
      </c>
      <c r="C673" s="42" t="n">
        <v>46230</v>
      </c>
      <c r="D673" s="43" t="n">
        <v>0.541666666666667</v>
      </c>
      <c r="E673" s="41"/>
      <c r="F673" s="41" t="s">
        <v>88</v>
      </c>
      <c r="G673" s="41" t="n">
        <v>3</v>
      </c>
      <c r="H673" s="41" t="s">
        <v>23</v>
      </c>
      <c r="I673" s="44"/>
      <c r="J673" s="44" t="s">
        <v>100</v>
      </c>
    </row>
    <row r="674" customFormat="false" ht="15" hidden="false" customHeight="false" outlineLevel="0" collapsed="false">
      <c r="B674" s="41" t="s">
        <v>9</v>
      </c>
      <c r="C674" s="42" t="n">
        <v>46230</v>
      </c>
      <c r="D674" s="43" t="n">
        <v>0.708333333333333</v>
      </c>
      <c r="E674" s="41"/>
      <c r="F674" s="41" t="s">
        <v>88</v>
      </c>
      <c r="G674" s="41" t="n">
        <v>4</v>
      </c>
      <c r="H674" s="41" t="s">
        <v>24</v>
      </c>
      <c r="I674" s="44"/>
      <c r="J674" s="44" t="s">
        <v>100</v>
      </c>
    </row>
    <row r="675" customFormat="false" ht="15" hidden="false" customHeight="false" outlineLevel="0" collapsed="false">
      <c r="B675" s="41" t="s">
        <v>9</v>
      </c>
      <c r="C675" s="42" t="n">
        <v>46230</v>
      </c>
      <c r="D675" s="43" t="n">
        <v>0.833333333333333</v>
      </c>
      <c r="E675" s="41"/>
      <c r="F675" s="41" t="s">
        <v>88</v>
      </c>
      <c r="G675" s="41" t="n">
        <v>5</v>
      </c>
      <c r="H675" s="41" t="s">
        <v>98</v>
      </c>
      <c r="I675" s="44"/>
      <c r="J675" s="44" t="s">
        <v>100</v>
      </c>
    </row>
    <row r="676" customFormat="false" ht="15" hidden="false" customHeight="false" outlineLevel="0" collapsed="false">
      <c r="B676" s="41" t="s">
        <v>14</v>
      </c>
      <c r="C676" s="42" t="n">
        <v>46230</v>
      </c>
      <c r="D676" s="43" t="n">
        <v>0.375</v>
      </c>
      <c r="E676" s="41"/>
      <c r="F676" s="41" t="s">
        <v>88</v>
      </c>
      <c r="G676" s="41" t="n">
        <v>1</v>
      </c>
      <c r="H676" s="41" t="s">
        <v>123</v>
      </c>
      <c r="I676" s="44"/>
      <c r="J676" s="44" t="s">
        <v>104</v>
      </c>
    </row>
    <row r="677" customFormat="false" ht="15" hidden="false" customHeight="false" outlineLevel="0" collapsed="false">
      <c r="B677" s="41" t="s">
        <v>14</v>
      </c>
      <c r="C677" s="42" t="n">
        <v>46230</v>
      </c>
      <c r="D677" s="43" t="n">
        <v>0.458333333333333</v>
      </c>
      <c r="E677" s="41"/>
      <c r="F677" s="41" t="s">
        <v>88</v>
      </c>
      <c r="G677" s="41" t="n">
        <v>2</v>
      </c>
      <c r="H677" s="41" t="s">
        <v>124</v>
      </c>
      <c r="I677" s="44"/>
      <c r="J677" s="44" t="s">
        <v>104</v>
      </c>
    </row>
    <row r="678" customFormat="false" ht="15" hidden="false" customHeight="false" outlineLevel="0" collapsed="false">
      <c r="B678" s="41" t="s">
        <v>14</v>
      </c>
      <c r="C678" s="42" t="n">
        <v>46230</v>
      </c>
      <c r="D678" s="43" t="n">
        <v>0.520833333333333</v>
      </c>
      <c r="E678" s="41" t="s">
        <v>102</v>
      </c>
      <c r="F678" s="41" t="s">
        <v>88</v>
      </c>
      <c r="G678" s="41" t="n">
        <v>3</v>
      </c>
      <c r="H678" s="41" t="s">
        <v>103</v>
      </c>
      <c r="I678" s="44"/>
      <c r="J678" s="44" t="s">
        <v>104</v>
      </c>
    </row>
    <row r="679" customFormat="false" ht="15" hidden="false" customHeight="false" outlineLevel="0" collapsed="false">
      <c r="B679" s="41" t="s">
        <v>15</v>
      </c>
      <c r="C679" s="42" t="n">
        <v>46230</v>
      </c>
      <c r="D679" s="43" t="n">
        <v>0.75</v>
      </c>
      <c r="E679" s="41"/>
      <c r="F679" s="41" t="s">
        <v>88</v>
      </c>
      <c r="G679" s="41" t="n">
        <v>1</v>
      </c>
      <c r="H679" s="41" t="s">
        <v>26</v>
      </c>
      <c r="I679" s="44"/>
      <c r="J679" s="44" t="s">
        <v>120</v>
      </c>
    </row>
    <row r="680" customFormat="false" ht="15" hidden="false" customHeight="false" outlineLevel="0" collapsed="false">
      <c r="B680" s="41" t="s">
        <v>16</v>
      </c>
      <c r="C680" s="42" t="n">
        <v>46230</v>
      </c>
      <c r="D680" s="43" t="n">
        <v>0.333333333333333</v>
      </c>
      <c r="E680" s="41"/>
      <c r="F680" s="41" t="s">
        <v>88</v>
      </c>
      <c r="G680" s="41" t="n">
        <v>1</v>
      </c>
      <c r="H680" s="41"/>
      <c r="I680" s="44"/>
      <c r="J680" s="44" t="s">
        <v>105</v>
      </c>
    </row>
    <row r="681" customFormat="false" ht="15" hidden="false" customHeight="false" outlineLevel="0" collapsed="false">
      <c r="B681" s="41" t="s">
        <v>16</v>
      </c>
      <c r="C681" s="42" t="n">
        <v>46230</v>
      </c>
      <c r="D681" s="43" t="n">
        <v>0.5</v>
      </c>
      <c r="E681" s="41"/>
      <c r="F681" s="41" t="s">
        <v>88</v>
      </c>
      <c r="G681" s="41" t="n">
        <v>2</v>
      </c>
      <c r="H681" s="41"/>
      <c r="I681" s="44"/>
      <c r="J681" s="44" t="s">
        <v>105</v>
      </c>
    </row>
    <row r="682" customFormat="false" ht="15" hidden="false" customHeight="false" outlineLevel="0" collapsed="false">
      <c r="B682" s="41" t="s">
        <v>16</v>
      </c>
      <c r="C682" s="42" t="n">
        <v>46230</v>
      </c>
      <c r="D682" s="43" t="n">
        <v>0.583333333333333</v>
      </c>
      <c r="E682" s="41"/>
      <c r="F682" s="41" t="s">
        <v>88</v>
      </c>
      <c r="G682" s="41" t="n">
        <v>3</v>
      </c>
      <c r="H682" s="41" t="s">
        <v>106</v>
      </c>
      <c r="I682" s="44"/>
      <c r="J682" s="44" t="s">
        <v>105</v>
      </c>
    </row>
    <row r="683" customFormat="false" ht="15" hidden="false" customHeight="false" outlineLevel="0" collapsed="false">
      <c r="B683" s="41" t="s">
        <v>16</v>
      </c>
      <c r="C683" s="42" t="n">
        <v>46230</v>
      </c>
      <c r="D683" s="43" t="n">
        <v>0.666666666666667</v>
      </c>
      <c r="E683" s="41"/>
      <c r="F683" s="41" t="s">
        <v>88</v>
      </c>
      <c r="G683" s="41" t="n">
        <v>4</v>
      </c>
      <c r="H683" s="41" t="s">
        <v>106</v>
      </c>
      <c r="I683" s="44"/>
      <c r="J683" s="44" t="s">
        <v>105</v>
      </c>
    </row>
    <row r="684" customFormat="false" ht="15" hidden="false" customHeight="false" outlineLevel="0" collapsed="false">
      <c r="B684" s="41" t="s">
        <v>16</v>
      </c>
      <c r="C684" s="42" t="n">
        <v>46230</v>
      </c>
      <c r="D684" s="43" t="n">
        <v>0.75</v>
      </c>
      <c r="E684" s="41"/>
      <c r="F684" s="41" t="s">
        <v>88</v>
      </c>
      <c r="G684" s="41" t="n">
        <v>5</v>
      </c>
      <c r="H684" s="41" t="s">
        <v>106</v>
      </c>
      <c r="I684" s="44"/>
      <c r="J684" s="44" t="s">
        <v>105</v>
      </c>
    </row>
    <row r="685" customFormat="false" ht="15" hidden="false" customHeight="false" outlineLevel="0" collapsed="false">
      <c r="B685" s="41" t="s">
        <v>8</v>
      </c>
      <c r="C685" s="42" t="n">
        <v>46230</v>
      </c>
      <c r="D685" s="43" t="n">
        <v>0.34375</v>
      </c>
      <c r="E685" s="41" t="s">
        <v>93</v>
      </c>
      <c r="F685" s="41" t="s">
        <v>88</v>
      </c>
      <c r="G685" s="41" t="n">
        <v>1</v>
      </c>
      <c r="H685" s="41" t="s">
        <v>94</v>
      </c>
      <c r="I685" s="44"/>
      <c r="J685" s="44" t="s">
        <v>107</v>
      </c>
    </row>
    <row r="686" customFormat="false" ht="15" hidden="false" customHeight="false" outlineLevel="0" collapsed="false">
      <c r="B686" s="41" t="s">
        <v>8</v>
      </c>
      <c r="C686" s="42" t="n">
        <v>46230</v>
      </c>
      <c r="D686" s="43" t="n">
        <v>0.385416666666667</v>
      </c>
      <c r="E686" s="41" t="s">
        <v>108</v>
      </c>
      <c r="F686" s="41" t="s">
        <v>88</v>
      </c>
      <c r="G686" s="41" t="n">
        <v>2</v>
      </c>
      <c r="H686" s="41" t="s">
        <v>94</v>
      </c>
      <c r="I686" s="44"/>
      <c r="J686" s="44" t="s">
        <v>107</v>
      </c>
    </row>
    <row r="687" customFormat="false" ht="15" hidden="false" customHeight="false" outlineLevel="0" collapsed="false">
      <c r="B687" s="41" t="s">
        <v>8</v>
      </c>
      <c r="C687" s="42" t="n">
        <v>46230</v>
      </c>
      <c r="D687" s="43" t="n">
        <v>0.479166666666667</v>
      </c>
      <c r="E687" s="41" t="s">
        <v>109</v>
      </c>
      <c r="F687" s="41" t="s">
        <v>88</v>
      </c>
      <c r="G687" s="41" t="n">
        <v>3</v>
      </c>
      <c r="H687" s="41" t="s">
        <v>94</v>
      </c>
      <c r="I687" s="44"/>
      <c r="J687" s="44" t="s">
        <v>107</v>
      </c>
    </row>
    <row r="688" customFormat="false" ht="15" hidden="false" customHeight="false" outlineLevel="0" collapsed="false">
      <c r="B688" s="41" t="s">
        <v>8</v>
      </c>
      <c r="C688" s="42" t="n">
        <v>46230</v>
      </c>
      <c r="D688" s="43" t="n">
        <v>0.520833333333333</v>
      </c>
      <c r="E688" s="41"/>
      <c r="F688" s="41" t="s">
        <v>88</v>
      </c>
      <c r="G688" s="41" t="n">
        <v>4</v>
      </c>
      <c r="H688" s="41" t="s">
        <v>22</v>
      </c>
      <c r="I688" s="44"/>
      <c r="J688" s="44" t="s">
        <v>107</v>
      </c>
    </row>
    <row r="689" customFormat="false" ht="15" hidden="false" customHeight="false" outlineLevel="0" collapsed="false">
      <c r="B689" s="41" t="s">
        <v>8</v>
      </c>
      <c r="C689" s="42" t="n">
        <v>46230</v>
      </c>
      <c r="D689" s="43" t="n">
        <v>0.604166666666667</v>
      </c>
      <c r="E689" s="41"/>
      <c r="F689" s="41" t="s">
        <v>88</v>
      </c>
      <c r="G689" s="41" t="n">
        <v>5</v>
      </c>
      <c r="H689" s="41" t="s">
        <v>23</v>
      </c>
      <c r="I689" s="44"/>
      <c r="J689" s="44" t="s">
        <v>107</v>
      </c>
    </row>
    <row r="690" customFormat="false" ht="15" hidden="false" customHeight="false" outlineLevel="0" collapsed="false">
      <c r="B690" s="41" t="s">
        <v>8</v>
      </c>
      <c r="C690" s="42" t="n">
        <v>46230</v>
      </c>
      <c r="D690" s="43" t="n">
        <v>0.708333333333333</v>
      </c>
      <c r="E690" s="41"/>
      <c r="F690" s="41" t="s">
        <v>88</v>
      </c>
      <c r="G690" s="41" t="n">
        <v>6</v>
      </c>
      <c r="H690" s="41" t="s">
        <v>24</v>
      </c>
      <c r="I690" s="44"/>
      <c r="J690" s="44" t="s">
        <v>107</v>
      </c>
    </row>
    <row r="691" customFormat="false" ht="15" hidden="false" customHeight="false" outlineLevel="0" collapsed="false">
      <c r="B691" s="41" t="s">
        <v>8</v>
      </c>
      <c r="C691" s="42" t="n">
        <v>46230</v>
      </c>
      <c r="D691" s="43" t="n">
        <v>0.833333333333333</v>
      </c>
      <c r="E691" s="41"/>
      <c r="F691" s="41" t="s">
        <v>88</v>
      </c>
      <c r="G691" s="41" t="n">
        <v>7</v>
      </c>
      <c r="H691" s="41" t="s">
        <v>98</v>
      </c>
      <c r="I691" s="44"/>
      <c r="J691" s="44" t="s">
        <v>107</v>
      </c>
    </row>
    <row r="692" customFormat="false" ht="15" hidden="false" customHeight="false" outlineLevel="0" collapsed="false">
      <c r="B692" s="41" t="s">
        <v>10</v>
      </c>
      <c r="C692" s="42" t="n">
        <v>46230</v>
      </c>
      <c r="D692" s="43" t="n">
        <v>0.34375</v>
      </c>
      <c r="E692" s="41" t="s">
        <v>93</v>
      </c>
      <c r="F692" s="41" t="s">
        <v>88</v>
      </c>
      <c r="G692" s="41" t="n">
        <v>1</v>
      </c>
      <c r="H692" s="41" t="s">
        <v>94</v>
      </c>
      <c r="I692" s="44"/>
      <c r="J692" s="44" t="s">
        <v>125</v>
      </c>
    </row>
    <row r="693" customFormat="false" ht="15" hidden="false" customHeight="false" outlineLevel="0" collapsed="false">
      <c r="B693" s="41" t="s">
        <v>10</v>
      </c>
      <c r="C693" s="42" t="n">
        <v>46230</v>
      </c>
      <c r="D693" s="43" t="n">
        <v>0.46875</v>
      </c>
      <c r="E693" s="41" t="s">
        <v>97</v>
      </c>
      <c r="F693" s="41" t="s">
        <v>88</v>
      </c>
      <c r="G693" s="41" t="n">
        <v>2</v>
      </c>
      <c r="H693" s="41" t="s">
        <v>94</v>
      </c>
      <c r="I693" s="44"/>
      <c r="J693" s="44" t="s">
        <v>125</v>
      </c>
    </row>
    <row r="694" customFormat="false" ht="15" hidden="false" customHeight="false" outlineLevel="0" collapsed="false">
      <c r="B694" s="41" t="s">
        <v>10</v>
      </c>
      <c r="C694" s="42" t="n">
        <v>46230</v>
      </c>
      <c r="D694" s="43" t="n">
        <v>0.541666666666667</v>
      </c>
      <c r="E694" s="41"/>
      <c r="F694" s="41" t="s">
        <v>88</v>
      </c>
      <c r="G694" s="41" t="n">
        <v>3</v>
      </c>
      <c r="H694" s="41" t="s">
        <v>23</v>
      </c>
      <c r="I694" s="44"/>
      <c r="J694" s="44" t="s">
        <v>125</v>
      </c>
    </row>
    <row r="695" customFormat="false" ht="15" hidden="false" customHeight="false" outlineLevel="0" collapsed="false">
      <c r="B695" s="41" t="s">
        <v>10</v>
      </c>
      <c r="C695" s="42" t="n">
        <v>46230</v>
      </c>
      <c r="D695" s="43" t="n">
        <v>0.708333333333333</v>
      </c>
      <c r="E695" s="41"/>
      <c r="F695" s="41" t="s">
        <v>88</v>
      </c>
      <c r="G695" s="41" t="n">
        <v>4</v>
      </c>
      <c r="H695" s="41" t="s">
        <v>24</v>
      </c>
      <c r="I695" s="44"/>
      <c r="J695" s="44" t="s">
        <v>125</v>
      </c>
    </row>
    <row r="696" customFormat="false" ht="15" hidden="false" customHeight="false" outlineLevel="0" collapsed="false">
      <c r="B696" s="41" t="s">
        <v>10</v>
      </c>
      <c r="C696" s="42" t="n">
        <v>46230</v>
      </c>
      <c r="D696" s="43" t="n">
        <v>0.833333333333333</v>
      </c>
      <c r="E696" s="41"/>
      <c r="F696" s="41" t="s">
        <v>88</v>
      </c>
      <c r="G696" s="41" t="n">
        <v>5</v>
      </c>
      <c r="H696" s="41" t="s">
        <v>98</v>
      </c>
      <c r="I696" s="44"/>
      <c r="J696" s="44" t="s">
        <v>125</v>
      </c>
    </row>
    <row r="697" customFormat="false" ht="15" hidden="false" customHeight="false" outlineLevel="0" collapsed="false">
      <c r="B697" s="41" t="s">
        <v>12</v>
      </c>
      <c r="C697" s="42" t="n">
        <v>46230</v>
      </c>
      <c r="D697" s="43" t="n">
        <v>0.34375</v>
      </c>
      <c r="E697" s="41"/>
      <c r="F697" s="41" t="s">
        <v>88</v>
      </c>
      <c r="G697" s="41" t="n">
        <v>1</v>
      </c>
      <c r="H697" s="41" t="s">
        <v>12</v>
      </c>
      <c r="I697" s="44" t="s">
        <v>114</v>
      </c>
      <c r="J697" s="44" t="s">
        <v>115</v>
      </c>
    </row>
    <row r="698" customFormat="false" ht="15" hidden="false" customHeight="false" outlineLevel="0" collapsed="false">
      <c r="B698" s="41" t="s">
        <v>12</v>
      </c>
      <c r="C698" s="42" t="n">
        <v>46230</v>
      </c>
      <c r="D698" s="43" t="n">
        <v>0.416666666666667</v>
      </c>
      <c r="E698" s="41"/>
      <c r="F698" s="41" t="s">
        <v>88</v>
      </c>
      <c r="G698" s="41" t="n">
        <v>2</v>
      </c>
      <c r="H698" s="41" t="s">
        <v>113</v>
      </c>
      <c r="I698" s="44"/>
      <c r="J698" s="44" t="s">
        <v>115</v>
      </c>
    </row>
    <row r="699" customFormat="false" ht="15" hidden="false" customHeight="false" outlineLevel="0" collapsed="false">
      <c r="B699" s="41" t="s">
        <v>12</v>
      </c>
      <c r="C699" s="42" t="n">
        <v>46230</v>
      </c>
      <c r="D699" s="43" t="n">
        <v>0.541666666666667</v>
      </c>
      <c r="E699" s="41"/>
      <c r="F699" s="41" t="s">
        <v>88</v>
      </c>
      <c r="G699" s="41" t="n">
        <v>3</v>
      </c>
      <c r="H699" s="41" t="s">
        <v>12</v>
      </c>
      <c r="I699" s="44"/>
      <c r="J699" s="44" t="s">
        <v>115</v>
      </c>
    </row>
    <row r="700" customFormat="false" ht="15" hidden="false" customHeight="false" outlineLevel="0" collapsed="false">
      <c r="B700" s="41" t="s">
        <v>17</v>
      </c>
      <c r="C700" s="42" t="n">
        <v>46231</v>
      </c>
      <c r="D700" s="43" t="n">
        <v>0.416666666666667</v>
      </c>
      <c r="E700" s="41"/>
      <c r="F700" s="41" t="s">
        <v>88</v>
      </c>
      <c r="G700" s="41" t="n">
        <v>1</v>
      </c>
      <c r="H700" s="41" t="s">
        <v>89</v>
      </c>
      <c r="I700" s="44" t="s">
        <v>116</v>
      </c>
      <c r="J700" s="44" t="s">
        <v>91</v>
      </c>
    </row>
    <row r="701" customFormat="false" ht="15" hidden="false" customHeight="false" outlineLevel="0" collapsed="false">
      <c r="B701" s="41" t="s">
        <v>17</v>
      </c>
      <c r="C701" s="42" t="n">
        <v>46231</v>
      </c>
      <c r="D701" s="43" t="n">
        <v>0.625</v>
      </c>
      <c r="E701" s="41" t="s">
        <v>92</v>
      </c>
      <c r="F701" s="41" t="s">
        <v>88</v>
      </c>
      <c r="G701" s="41" t="n">
        <v>2</v>
      </c>
      <c r="H701" s="41"/>
      <c r="I701" s="44" t="s">
        <v>116</v>
      </c>
      <c r="J701" s="44" t="s">
        <v>91</v>
      </c>
    </row>
    <row r="702" customFormat="false" ht="15" hidden="false" customHeight="false" outlineLevel="0" collapsed="false">
      <c r="B702" s="41" t="s">
        <v>11</v>
      </c>
      <c r="C702" s="42" t="n">
        <v>46231</v>
      </c>
      <c r="D702" s="43" t="n">
        <v>0.34375</v>
      </c>
      <c r="E702" s="41" t="s">
        <v>93</v>
      </c>
      <c r="F702" s="41" t="s">
        <v>88</v>
      </c>
      <c r="G702" s="41" t="n">
        <v>1</v>
      </c>
      <c r="H702" s="41"/>
      <c r="I702" s="44" t="s">
        <v>95</v>
      </c>
      <c r="J702" s="44" t="s">
        <v>96</v>
      </c>
    </row>
    <row r="703" customFormat="false" ht="15" hidden="false" customHeight="false" outlineLevel="0" collapsed="false">
      <c r="B703" s="41" t="s">
        <v>11</v>
      </c>
      <c r="C703" s="42" t="n">
        <v>46231</v>
      </c>
      <c r="D703" s="43" t="n">
        <v>0.458333333333333</v>
      </c>
      <c r="E703" s="41" t="s">
        <v>97</v>
      </c>
      <c r="F703" s="41" t="s">
        <v>88</v>
      </c>
      <c r="G703" s="41" t="n">
        <v>2</v>
      </c>
      <c r="H703" s="41"/>
      <c r="I703" s="44"/>
      <c r="J703" s="44" t="s">
        <v>96</v>
      </c>
    </row>
    <row r="704" customFormat="false" ht="15" hidden="false" customHeight="false" outlineLevel="0" collapsed="false">
      <c r="B704" s="41" t="s">
        <v>11</v>
      </c>
      <c r="C704" s="42" t="n">
        <v>46231</v>
      </c>
      <c r="D704" s="43" t="n">
        <v>0.583333333333333</v>
      </c>
      <c r="E704" s="41"/>
      <c r="F704" s="41" t="s">
        <v>88</v>
      </c>
      <c r="G704" s="41" t="n">
        <v>3</v>
      </c>
      <c r="H704" s="41" t="s">
        <v>23</v>
      </c>
      <c r="I704" s="44"/>
      <c r="J704" s="44" t="s">
        <v>96</v>
      </c>
    </row>
    <row r="705" customFormat="false" ht="15" hidden="false" customHeight="false" outlineLevel="0" collapsed="false">
      <c r="B705" s="41" t="s">
        <v>11</v>
      </c>
      <c r="C705" s="42" t="n">
        <v>46231</v>
      </c>
      <c r="D705" s="43" t="n">
        <v>0.708333333333333</v>
      </c>
      <c r="E705" s="41"/>
      <c r="F705" s="41" t="s">
        <v>88</v>
      </c>
      <c r="G705" s="41" t="n">
        <v>4</v>
      </c>
      <c r="H705" s="41" t="s">
        <v>24</v>
      </c>
      <c r="I705" s="44"/>
      <c r="J705" s="44" t="s">
        <v>96</v>
      </c>
    </row>
    <row r="706" customFormat="false" ht="15" hidden="false" customHeight="false" outlineLevel="0" collapsed="false">
      <c r="B706" s="41" t="s">
        <v>11</v>
      </c>
      <c r="C706" s="42" t="n">
        <v>46231</v>
      </c>
      <c r="D706" s="43" t="n">
        <v>0.833333333333333</v>
      </c>
      <c r="E706" s="41"/>
      <c r="F706" s="41" t="s">
        <v>88</v>
      </c>
      <c r="G706" s="41" t="n">
        <v>5</v>
      </c>
      <c r="H706" s="41" t="s">
        <v>98</v>
      </c>
      <c r="I706" s="44"/>
      <c r="J706" s="44" t="s">
        <v>96</v>
      </c>
    </row>
    <row r="707" customFormat="false" ht="15" hidden="false" customHeight="false" outlineLevel="0" collapsed="false">
      <c r="B707" s="41" t="s">
        <v>9</v>
      </c>
      <c r="C707" s="42" t="n">
        <v>46231</v>
      </c>
      <c r="D707" s="43" t="n">
        <v>0.34375</v>
      </c>
      <c r="E707" s="41" t="s">
        <v>93</v>
      </c>
      <c r="F707" s="41" t="s">
        <v>88</v>
      </c>
      <c r="G707" s="41" t="n">
        <v>1</v>
      </c>
      <c r="H707" s="41"/>
      <c r="I707" s="44"/>
      <c r="J707" s="44" t="s">
        <v>100</v>
      </c>
    </row>
    <row r="708" customFormat="false" ht="15" hidden="false" customHeight="false" outlineLevel="0" collapsed="false">
      <c r="B708" s="41" t="s">
        <v>9</v>
      </c>
      <c r="C708" s="42" t="n">
        <v>46231</v>
      </c>
      <c r="D708" s="43" t="n">
        <v>0.385416666666667</v>
      </c>
      <c r="E708" s="41" t="s">
        <v>108</v>
      </c>
      <c r="F708" s="41" t="s">
        <v>88</v>
      </c>
      <c r="G708" s="41" t="n">
        <v>2</v>
      </c>
      <c r="H708" s="41"/>
      <c r="I708" s="44"/>
      <c r="J708" s="44" t="s">
        <v>100</v>
      </c>
    </row>
    <row r="709" customFormat="false" ht="15" hidden="false" customHeight="false" outlineLevel="0" collapsed="false">
      <c r="B709" s="41" t="s">
        <v>9</v>
      </c>
      <c r="C709" s="42" t="n">
        <v>46231</v>
      </c>
      <c r="D709" s="43" t="n">
        <v>0.479166666666667</v>
      </c>
      <c r="E709" s="41" t="s">
        <v>109</v>
      </c>
      <c r="F709" s="41" t="s">
        <v>88</v>
      </c>
      <c r="G709" s="41" t="n">
        <v>3</v>
      </c>
      <c r="H709" s="41"/>
      <c r="I709" s="44"/>
      <c r="J709" s="44" t="s">
        <v>100</v>
      </c>
    </row>
    <row r="710" customFormat="false" ht="15" hidden="false" customHeight="false" outlineLevel="0" collapsed="false">
      <c r="B710" s="41" t="s">
        <v>9</v>
      </c>
      <c r="C710" s="42" t="n">
        <v>46231</v>
      </c>
      <c r="D710" s="43" t="n">
        <v>0.541666666666667</v>
      </c>
      <c r="E710" s="41"/>
      <c r="F710" s="41" t="s">
        <v>88</v>
      </c>
      <c r="G710" s="41" t="n">
        <v>4</v>
      </c>
      <c r="H710" s="41" t="s">
        <v>23</v>
      </c>
      <c r="I710" s="44"/>
      <c r="J710" s="44" t="s">
        <v>100</v>
      </c>
    </row>
    <row r="711" customFormat="false" ht="15" hidden="false" customHeight="false" outlineLevel="0" collapsed="false">
      <c r="B711" s="41" t="s">
        <v>9</v>
      </c>
      <c r="C711" s="42" t="n">
        <v>46231</v>
      </c>
      <c r="D711" s="43" t="n">
        <v>0.708333333333333</v>
      </c>
      <c r="E711" s="41"/>
      <c r="F711" s="41" t="s">
        <v>88</v>
      </c>
      <c r="G711" s="41" t="n">
        <v>5</v>
      </c>
      <c r="H711" s="41" t="s">
        <v>24</v>
      </c>
      <c r="I711" s="44"/>
      <c r="J711" s="44" t="s">
        <v>100</v>
      </c>
    </row>
    <row r="712" customFormat="false" ht="15" hidden="false" customHeight="false" outlineLevel="0" collapsed="false">
      <c r="B712" s="41" t="s">
        <v>9</v>
      </c>
      <c r="C712" s="42" t="n">
        <v>46231</v>
      </c>
      <c r="D712" s="43" t="n">
        <v>0.833333333333333</v>
      </c>
      <c r="E712" s="41"/>
      <c r="F712" s="41" t="s">
        <v>88</v>
      </c>
      <c r="G712" s="41" t="n">
        <v>6</v>
      </c>
      <c r="H712" s="41" t="s">
        <v>98</v>
      </c>
      <c r="I712" s="44"/>
      <c r="J712" s="44" t="s">
        <v>100</v>
      </c>
    </row>
    <row r="713" customFormat="false" ht="15" hidden="false" customHeight="false" outlineLevel="0" collapsed="false">
      <c r="B713" s="41" t="s">
        <v>14</v>
      </c>
      <c r="C713" s="42" t="n">
        <v>46231</v>
      </c>
      <c r="D713" s="43" t="n">
        <v>0.520833333333333</v>
      </c>
      <c r="E713" s="41" t="s">
        <v>102</v>
      </c>
      <c r="F713" s="41" t="s">
        <v>88</v>
      </c>
      <c r="G713" s="41" t="n">
        <v>1</v>
      </c>
      <c r="H713" s="41" t="s">
        <v>103</v>
      </c>
      <c r="I713" s="44"/>
      <c r="J713" s="44" t="s">
        <v>104</v>
      </c>
    </row>
    <row r="714" customFormat="false" ht="15" hidden="false" customHeight="false" outlineLevel="0" collapsed="false">
      <c r="B714" s="41" t="s">
        <v>14</v>
      </c>
      <c r="C714" s="42" t="n">
        <v>46231</v>
      </c>
      <c r="D714" s="43" t="n">
        <v>0.75</v>
      </c>
      <c r="E714" s="41"/>
      <c r="F714" s="41" t="s">
        <v>88</v>
      </c>
      <c r="G714" s="41" t="n">
        <v>2</v>
      </c>
      <c r="H714" s="41" t="s">
        <v>127</v>
      </c>
      <c r="I714" s="44"/>
      <c r="J714" s="44" t="s">
        <v>104</v>
      </c>
    </row>
    <row r="715" customFormat="false" ht="15" hidden="false" customHeight="false" outlineLevel="0" collapsed="false">
      <c r="B715" s="41" t="s">
        <v>15</v>
      </c>
      <c r="C715" s="42" t="n">
        <v>46231</v>
      </c>
      <c r="D715" s="43" t="n">
        <v>0.75</v>
      </c>
      <c r="E715" s="41"/>
      <c r="F715" s="41" t="s">
        <v>88</v>
      </c>
      <c r="G715" s="41" t="n">
        <v>1</v>
      </c>
      <c r="H715" s="41" t="s">
        <v>26</v>
      </c>
      <c r="I715" s="44"/>
      <c r="J715" s="44" t="s">
        <v>120</v>
      </c>
    </row>
    <row r="716" customFormat="false" ht="15" hidden="false" customHeight="false" outlineLevel="0" collapsed="false">
      <c r="B716" s="41" t="s">
        <v>16</v>
      </c>
      <c r="C716" s="42" t="n">
        <v>46231</v>
      </c>
      <c r="D716" s="43" t="n">
        <v>0.333333333333333</v>
      </c>
      <c r="E716" s="41"/>
      <c r="F716" s="41" t="s">
        <v>88</v>
      </c>
      <c r="G716" s="41" t="n">
        <v>1</v>
      </c>
      <c r="H716" s="41"/>
      <c r="I716" s="44"/>
      <c r="J716" s="44" t="s">
        <v>105</v>
      </c>
    </row>
    <row r="717" customFormat="false" ht="15" hidden="false" customHeight="false" outlineLevel="0" collapsed="false">
      <c r="B717" s="41" t="s">
        <v>16</v>
      </c>
      <c r="C717" s="42" t="n">
        <v>46231</v>
      </c>
      <c r="D717" s="43" t="n">
        <v>0.5</v>
      </c>
      <c r="E717" s="41"/>
      <c r="F717" s="41" t="s">
        <v>88</v>
      </c>
      <c r="G717" s="41" t="n">
        <v>2</v>
      </c>
      <c r="H717" s="41"/>
      <c r="I717" s="44"/>
      <c r="J717" s="44" t="s">
        <v>105</v>
      </c>
    </row>
    <row r="718" customFormat="false" ht="15" hidden="false" customHeight="false" outlineLevel="0" collapsed="false">
      <c r="B718" s="41" t="s">
        <v>16</v>
      </c>
      <c r="C718" s="42" t="n">
        <v>46231</v>
      </c>
      <c r="D718" s="43" t="n">
        <v>0.583333333333333</v>
      </c>
      <c r="E718" s="41"/>
      <c r="F718" s="41" t="s">
        <v>88</v>
      </c>
      <c r="G718" s="41" t="n">
        <v>3</v>
      </c>
      <c r="H718" s="41" t="s">
        <v>106</v>
      </c>
      <c r="I718" s="44"/>
      <c r="J718" s="44" t="s">
        <v>105</v>
      </c>
    </row>
    <row r="719" customFormat="false" ht="15" hidden="false" customHeight="false" outlineLevel="0" collapsed="false">
      <c r="B719" s="41" t="s">
        <v>16</v>
      </c>
      <c r="C719" s="42" t="n">
        <v>46231</v>
      </c>
      <c r="D719" s="43" t="n">
        <v>0.666666666666667</v>
      </c>
      <c r="E719" s="41"/>
      <c r="F719" s="41" t="s">
        <v>88</v>
      </c>
      <c r="G719" s="41" t="n">
        <v>4</v>
      </c>
      <c r="H719" s="41" t="s">
        <v>106</v>
      </c>
      <c r="I719" s="44"/>
      <c r="J719" s="44" t="s">
        <v>105</v>
      </c>
    </row>
    <row r="720" customFormat="false" ht="15" hidden="false" customHeight="false" outlineLevel="0" collapsed="false">
      <c r="B720" s="41" t="s">
        <v>16</v>
      </c>
      <c r="C720" s="42" t="n">
        <v>46231</v>
      </c>
      <c r="D720" s="43" t="n">
        <v>0.75</v>
      </c>
      <c r="E720" s="41"/>
      <c r="F720" s="41" t="s">
        <v>88</v>
      </c>
      <c r="G720" s="41" t="n">
        <v>5</v>
      </c>
      <c r="H720" s="41" t="s">
        <v>106</v>
      </c>
      <c r="I720" s="44"/>
      <c r="J720" s="44" t="s">
        <v>105</v>
      </c>
    </row>
    <row r="721" customFormat="false" ht="15" hidden="false" customHeight="false" outlineLevel="0" collapsed="false">
      <c r="B721" s="41" t="s">
        <v>8</v>
      </c>
      <c r="C721" s="42" t="n">
        <v>46231</v>
      </c>
      <c r="D721" s="43" t="n">
        <v>0.354166666666667</v>
      </c>
      <c r="E721" s="41" t="s">
        <v>93</v>
      </c>
      <c r="F721" s="41" t="s">
        <v>88</v>
      </c>
      <c r="G721" s="41" t="n">
        <v>1</v>
      </c>
      <c r="H721" s="41"/>
      <c r="I721" s="44"/>
      <c r="J721" s="44" t="s">
        <v>107</v>
      </c>
    </row>
    <row r="722" customFormat="false" ht="15" hidden="false" customHeight="false" outlineLevel="0" collapsed="false">
      <c r="B722" s="41" t="s">
        <v>8</v>
      </c>
      <c r="C722" s="42" t="n">
        <v>46231</v>
      </c>
      <c r="D722" s="43" t="n">
        <v>0.458333333333333</v>
      </c>
      <c r="E722" s="41" t="s">
        <v>97</v>
      </c>
      <c r="F722" s="41" t="s">
        <v>88</v>
      </c>
      <c r="G722" s="41" t="n">
        <v>2</v>
      </c>
      <c r="H722" s="41"/>
      <c r="I722" s="44"/>
      <c r="J722" s="44" t="s">
        <v>107</v>
      </c>
    </row>
    <row r="723" customFormat="false" ht="15" hidden="false" customHeight="false" outlineLevel="0" collapsed="false">
      <c r="B723" s="41" t="s">
        <v>8</v>
      </c>
      <c r="C723" s="42" t="n">
        <v>46231</v>
      </c>
      <c r="D723" s="43" t="n">
        <v>0.520833333333333</v>
      </c>
      <c r="E723" s="41"/>
      <c r="F723" s="41" t="s">
        <v>88</v>
      </c>
      <c r="G723" s="41" t="n">
        <v>3</v>
      </c>
      <c r="H723" s="41" t="s">
        <v>22</v>
      </c>
      <c r="I723" s="44"/>
      <c r="J723" s="44" t="s">
        <v>107</v>
      </c>
    </row>
    <row r="724" customFormat="false" ht="15" hidden="false" customHeight="false" outlineLevel="0" collapsed="false">
      <c r="B724" s="41" t="s">
        <v>8</v>
      </c>
      <c r="C724" s="42" t="n">
        <v>46231</v>
      </c>
      <c r="D724" s="43" t="n">
        <v>0.5625</v>
      </c>
      <c r="E724" s="41"/>
      <c r="F724" s="41" t="s">
        <v>88</v>
      </c>
      <c r="G724" s="41" t="n">
        <v>4</v>
      </c>
      <c r="H724" s="41" t="s">
        <v>23</v>
      </c>
      <c r="I724" s="44"/>
      <c r="J724" s="44" t="s">
        <v>107</v>
      </c>
    </row>
    <row r="725" customFormat="false" ht="15" hidden="false" customHeight="false" outlineLevel="0" collapsed="false">
      <c r="B725" s="41" t="s">
        <v>8</v>
      </c>
      <c r="C725" s="42" t="n">
        <v>46231</v>
      </c>
      <c r="D725" s="43" t="n">
        <v>0.708333333333333</v>
      </c>
      <c r="E725" s="41"/>
      <c r="F725" s="41" t="s">
        <v>88</v>
      </c>
      <c r="G725" s="41" t="n">
        <v>5</v>
      </c>
      <c r="H725" s="41" t="s">
        <v>24</v>
      </c>
      <c r="I725" s="44"/>
      <c r="J725" s="44" t="s">
        <v>107</v>
      </c>
    </row>
    <row r="726" customFormat="false" ht="15" hidden="false" customHeight="false" outlineLevel="0" collapsed="false">
      <c r="B726" s="41" t="s">
        <v>8</v>
      </c>
      <c r="C726" s="42" t="n">
        <v>46231</v>
      </c>
      <c r="D726" s="43" t="n">
        <v>0.833333333333333</v>
      </c>
      <c r="E726" s="41"/>
      <c r="F726" s="41" t="s">
        <v>88</v>
      </c>
      <c r="G726" s="41" t="n">
        <v>6</v>
      </c>
      <c r="H726" s="41" t="s">
        <v>98</v>
      </c>
      <c r="I726" s="44"/>
      <c r="J726" s="44" t="s">
        <v>107</v>
      </c>
    </row>
    <row r="727" customFormat="false" ht="15" hidden="false" customHeight="false" outlineLevel="0" collapsed="false">
      <c r="B727" s="41" t="s">
        <v>10</v>
      </c>
      <c r="C727" s="42" t="n">
        <v>46231</v>
      </c>
      <c r="D727" s="43" t="n">
        <v>0.34375</v>
      </c>
      <c r="E727" s="41" t="s">
        <v>93</v>
      </c>
      <c r="F727" s="41" t="s">
        <v>88</v>
      </c>
      <c r="G727" s="41" t="n">
        <v>1</v>
      </c>
      <c r="H727" s="41"/>
      <c r="I727" s="44"/>
      <c r="J727" s="44" t="s">
        <v>125</v>
      </c>
    </row>
    <row r="728" customFormat="false" ht="15" hidden="false" customHeight="false" outlineLevel="0" collapsed="false">
      <c r="B728" s="41" t="s">
        <v>10</v>
      </c>
      <c r="C728" s="42" t="n">
        <v>46231</v>
      </c>
      <c r="D728" s="43" t="n">
        <v>0.46875</v>
      </c>
      <c r="E728" s="41" t="s">
        <v>97</v>
      </c>
      <c r="F728" s="41" t="s">
        <v>88</v>
      </c>
      <c r="G728" s="41" t="n">
        <v>2</v>
      </c>
      <c r="H728" s="41"/>
      <c r="I728" s="44"/>
      <c r="J728" s="44" t="s">
        <v>125</v>
      </c>
    </row>
    <row r="729" customFormat="false" ht="15" hidden="false" customHeight="false" outlineLevel="0" collapsed="false">
      <c r="B729" s="41" t="s">
        <v>10</v>
      </c>
      <c r="C729" s="42" t="n">
        <v>46231</v>
      </c>
      <c r="D729" s="43" t="n">
        <v>0.541666666666667</v>
      </c>
      <c r="E729" s="41"/>
      <c r="F729" s="41" t="s">
        <v>88</v>
      </c>
      <c r="G729" s="41" t="n">
        <v>3</v>
      </c>
      <c r="H729" s="41" t="s">
        <v>23</v>
      </c>
      <c r="I729" s="44"/>
      <c r="J729" s="44" t="s">
        <v>125</v>
      </c>
    </row>
    <row r="730" customFormat="false" ht="15" hidden="false" customHeight="false" outlineLevel="0" collapsed="false">
      <c r="B730" s="41" t="s">
        <v>10</v>
      </c>
      <c r="C730" s="42" t="n">
        <v>46231</v>
      </c>
      <c r="D730" s="43" t="n">
        <v>0.708333333333333</v>
      </c>
      <c r="E730" s="41"/>
      <c r="F730" s="41" t="s">
        <v>88</v>
      </c>
      <c r="G730" s="41" t="n">
        <v>4</v>
      </c>
      <c r="H730" s="41" t="s">
        <v>24</v>
      </c>
      <c r="I730" s="44"/>
      <c r="J730" s="44" t="s">
        <v>125</v>
      </c>
    </row>
    <row r="731" customFormat="false" ht="15" hidden="false" customHeight="false" outlineLevel="0" collapsed="false">
      <c r="B731" s="41" t="s">
        <v>10</v>
      </c>
      <c r="C731" s="42" t="n">
        <v>46231</v>
      </c>
      <c r="D731" s="43" t="n">
        <v>0.833333333333333</v>
      </c>
      <c r="E731" s="41"/>
      <c r="F731" s="41" t="s">
        <v>88</v>
      </c>
      <c r="G731" s="41" t="n">
        <v>5</v>
      </c>
      <c r="H731" s="41" t="s">
        <v>98</v>
      </c>
      <c r="I731" s="44"/>
      <c r="J731" s="44" t="s">
        <v>125</v>
      </c>
    </row>
    <row r="732" customFormat="false" ht="15" hidden="false" customHeight="false" outlineLevel="0" collapsed="false">
      <c r="B732" s="41" t="s">
        <v>12</v>
      </c>
      <c r="C732" s="42" t="n">
        <v>46231</v>
      </c>
      <c r="D732" s="43" t="n">
        <v>0.375</v>
      </c>
      <c r="E732" s="41"/>
      <c r="F732" s="41" t="s">
        <v>88</v>
      </c>
      <c r="G732" s="41" t="n">
        <v>1</v>
      </c>
      <c r="H732" s="41" t="s">
        <v>12</v>
      </c>
      <c r="I732" s="44" t="s">
        <v>114</v>
      </c>
      <c r="J732" s="44" t="s">
        <v>115</v>
      </c>
    </row>
    <row r="733" customFormat="false" ht="15" hidden="false" customHeight="false" outlineLevel="0" collapsed="false">
      <c r="B733" s="41" t="s">
        <v>12</v>
      </c>
      <c r="C733" s="42" t="n">
        <v>46231</v>
      </c>
      <c r="D733" s="43" t="n">
        <v>0.416666666666667</v>
      </c>
      <c r="E733" s="41"/>
      <c r="F733" s="41" t="s">
        <v>88</v>
      </c>
      <c r="G733" s="41" t="n">
        <v>2</v>
      </c>
      <c r="H733" s="41" t="s">
        <v>12</v>
      </c>
      <c r="I733" s="44"/>
      <c r="J733" s="44" t="s">
        <v>115</v>
      </c>
    </row>
    <row r="734" customFormat="false" ht="15" hidden="false" customHeight="false" outlineLevel="0" collapsed="false">
      <c r="B734" s="41" t="s">
        <v>12</v>
      </c>
      <c r="C734" s="42" t="n">
        <v>46231</v>
      </c>
      <c r="D734" s="43" t="n">
        <v>0.541666666666667</v>
      </c>
      <c r="E734" s="41"/>
      <c r="F734" s="41" t="s">
        <v>88</v>
      </c>
      <c r="G734" s="41" t="n">
        <v>3</v>
      </c>
      <c r="H734" s="41" t="s">
        <v>113</v>
      </c>
      <c r="I734" s="44"/>
      <c r="J734" s="44" t="s">
        <v>115</v>
      </c>
    </row>
    <row r="735" customFormat="false" ht="15" hidden="false" customHeight="false" outlineLevel="0" collapsed="false">
      <c r="B735" s="41" t="s">
        <v>12</v>
      </c>
      <c r="C735" s="42" t="n">
        <v>46231</v>
      </c>
      <c r="D735" s="43" t="n">
        <v>0.583333333333333</v>
      </c>
      <c r="E735" s="41"/>
      <c r="F735" s="41" t="s">
        <v>88</v>
      </c>
      <c r="G735" s="41" t="n">
        <v>4</v>
      </c>
      <c r="H735" s="41" t="s">
        <v>12</v>
      </c>
      <c r="I735" s="44"/>
      <c r="J735" s="44" t="s">
        <v>115</v>
      </c>
    </row>
    <row r="736" customFormat="false" ht="15" hidden="false" customHeight="false" outlineLevel="0" collapsed="false">
      <c r="B736" s="41" t="s">
        <v>17</v>
      </c>
      <c r="C736" s="42" t="n">
        <v>46232</v>
      </c>
      <c r="D736" s="43" t="n">
        <v>0.479166666666667</v>
      </c>
      <c r="E736" s="41"/>
      <c r="F736" s="41" t="s">
        <v>88</v>
      </c>
      <c r="G736" s="41" t="n">
        <v>1</v>
      </c>
      <c r="H736" s="41" t="s">
        <v>89</v>
      </c>
      <c r="I736" s="44" t="s">
        <v>122</v>
      </c>
      <c r="J736" s="44" t="s">
        <v>91</v>
      </c>
    </row>
    <row r="737" customFormat="false" ht="15" hidden="false" customHeight="false" outlineLevel="0" collapsed="false">
      <c r="B737" s="41" t="s">
        <v>17</v>
      </c>
      <c r="C737" s="42" t="n">
        <v>46232</v>
      </c>
      <c r="D737" s="43" t="n">
        <v>0.625</v>
      </c>
      <c r="E737" s="41" t="s">
        <v>92</v>
      </c>
      <c r="F737" s="41" t="s">
        <v>88</v>
      </c>
      <c r="G737" s="41" t="n">
        <v>2</v>
      </c>
      <c r="H737" s="41"/>
      <c r="I737" s="44" t="s">
        <v>122</v>
      </c>
      <c r="J737" s="44" t="s">
        <v>91</v>
      </c>
    </row>
    <row r="738" customFormat="false" ht="15" hidden="false" customHeight="false" outlineLevel="0" collapsed="false">
      <c r="B738" s="41" t="s">
        <v>11</v>
      </c>
      <c r="C738" s="42" t="n">
        <v>46232</v>
      </c>
      <c r="D738" s="43" t="n">
        <v>0.385416666666667</v>
      </c>
      <c r="E738" s="41" t="s">
        <v>102</v>
      </c>
      <c r="F738" s="41" t="s">
        <v>88</v>
      </c>
      <c r="G738" s="41" t="n">
        <v>1</v>
      </c>
      <c r="H738" s="41" t="s">
        <v>94</v>
      </c>
      <c r="I738" s="44" t="s">
        <v>95</v>
      </c>
      <c r="J738" s="44" t="s">
        <v>96</v>
      </c>
    </row>
    <row r="739" customFormat="false" ht="15" hidden="false" customHeight="false" outlineLevel="0" collapsed="false">
      <c r="B739" s="41" t="s">
        <v>11</v>
      </c>
      <c r="C739" s="42" t="n">
        <v>46232</v>
      </c>
      <c r="D739" s="43" t="n">
        <v>0.458333333333333</v>
      </c>
      <c r="E739" s="41" t="s">
        <v>109</v>
      </c>
      <c r="F739" s="41" t="s">
        <v>88</v>
      </c>
      <c r="G739" s="41" t="n">
        <v>2</v>
      </c>
      <c r="H739" s="41" t="s">
        <v>94</v>
      </c>
      <c r="I739" s="44"/>
      <c r="J739" s="44" t="s">
        <v>96</v>
      </c>
    </row>
    <row r="740" customFormat="false" ht="15" hidden="false" customHeight="false" outlineLevel="0" collapsed="false">
      <c r="B740" s="41" t="s">
        <v>11</v>
      </c>
      <c r="C740" s="42" t="n">
        <v>46232</v>
      </c>
      <c r="D740" s="43" t="n">
        <v>0.583333333333333</v>
      </c>
      <c r="E740" s="41"/>
      <c r="F740" s="41" t="s">
        <v>88</v>
      </c>
      <c r="G740" s="41" t="n">
        <v>3</v>
      </c>
      <c r="H740" s="41" t="s">
        <v>23</v>
      </c>
      <c r="I740" s="44"/>
      <c r="J740" s="44" t="s">
        <v>96</v>
      </c>
    </row>
    <row r="741" customFormat="false" ht="15" hidden="false" customHeight="false" outlineLevel="0" collapsed="false">
      <c r="B741" s="41" t="s">
        <v>11</v>
      </c>
      <c r="C741" s="42" t="n">
        <v>46232</v>
      </c>
      <c r="D741" s="43" t="n">
        <v>0.708333333333333</v>
      </c>
      <c r="E741" s="41"/>
      <c r="F741" s="41" t="s">
        <v>88</v>
      </c>
      <c r="G741" s="41" t="n">
        <v>4</v>
      </c>
      <c r="H741" s="41" t="s">
        <v>24</v>
      </c>
      <c r="I741" s="44"/>
      <c r="J741" s="44" t="s">
        <v>96</v>
      </c>
    </row>
    <row r="742" customFormat="false" ht="15" hidden="false" customHeight="false" outlineLevel="0" collapsed="false">
      <c r="B742" s="41" t="s">
        <v>11</v>
      </c>
      <c r="C742" s="42" t="n">
        <v>46232</v>
      </c>
      <c r="D742" s="43" t="n">
        <v>0.833333333333333</v>
      </c>
      <c r="E742" s="41"/>
      <c r="F742" s="41" t="s">
        <v>88</v>
      </c>
      <c r="G742" s="41" t="n">
        <v>5</v>
      </c>
      <c r="H742" s="41" t="s">
        <v>98</v>
      </c>
      <c r="I742" s="44"/>
      <c r="J742" s="44" t="s">
        <v>96</v>
      </c>
    </row>
    <row r="743" customFormat="false" ht="15" hidden="false" customHeight="false" outlineLevel="0" collapsed="false">
      <c r="B743" s="41" t="s">
        <v>9</v>
      </c>
      <c r="C743" s="42" t="n">
        <v>46232</v>
      </c>
      <c r="D743" s="43" t="n">
        <v>0.416666666666667</v>
      </c>
      <c r="E743" s="41" t="s">
        <v>99</v>
      </c>
      <c r="F743" s="41" t="s">
        <v>88</v>
      </c>
      <c r="G743" s="41" t="n">
        <v>1</v>
      </c>
      <c r="H743" s="41" t="s">
        <v>94</v>
      </c>
      <c r="I743" s="44"/>
      <c r="J743" s="44" t="s">
        <v>100</v>
      </c>
    </row>
    <row r="744" customFormat="false" ht="15" hidden="false" customHeight="false" outlineLevel="0" collapsed="false">
      <c r="B744" s="41" t="s">
        <v>9</v>
      </c>
      <c r="C744" s="42" t="n">
        <v>46232</v>
      </c>
      <c r="D744" s="43" t="n">
        <v>0.479166666666667</v>
      </c>
      <c r="E744" s="41" t="s">
        <v>101</v>
      </c>
      <c r="F744" s="41" t="s">
        <v>88</v>
      </c>
      <c r="G744" s="41" t="n">
        <v>2</v>
      </c>
      <c r="H744" s="41" t="s">
        <v>94</v>
      </c>
      <c r="I744" s="44"/>
      <c r="J744" s="44" t="s">
        <v>100</v>
      </c>
    </row>
    <row r="745" customFormat="false" ht="15" hidden="false" customHeight="false" outlineLevel="0" collapsed="false">
      <c r="B745" s="41" t="s">
        <v>9</v>
      </c>
      <c r="C745" s="42" t="n">
        <v>46232</v>
      </c>
      <c r="D745" s="43" t="n">
        <v>0.541666666666667</v>
      </c>
      <c r="E745" s="41"/>
      <c r="F745" s="41" t="s">
        <v>88</v>
      </c>
      <c r="G745" s="41" t="n">
        <v>3</v>
      </c>
      <c r="H745" s="41" t="s">
        <v>23</v>
      </c>
      <c r="I745" s="44"/>
      <c r="J745" s="44" t="s">
        <v>100</v>
      </c>
    </row>
    <row r="746" customFormat="false" ht="15" hidden="false" customHeight="false" outlineLevel="0" collapsed="false">
      <c r="B746" s="41" t="s">
        <v>9</v>
      </c>
      <c r="C746" s="42" t="n">
        <v>46232</v>
      </c>
      <c r="D746" s="43" t="n">
        <v>0.708333333333333</v>
      </c>
      <c r="E746" s="41"/>
      <c r="F746" s="41" t="s">
        <v>88</v>
      </c>
      <c r="G746" s="41" t="n">
        <v>4</v>
      </c>
      <c r="H746" s="41" t="s">
        <v>24</v>
      </c>
      <c r="I746" s="44"/>
      <c r="J746" s="44" t="s">
        <v>100</v>
      </c>
    </row>
    <row r="747" customFormat="false" ht="15" hidden="false" customHeight="false" outlineLevel="0" collapsed="false">
      <c r="B747" s="41" t="s">
        <v>9</v>
      </c>
      <c r="C747" s="42" t="n">
        <v>46232</v>
      </c>
      <c r="D747" s="43" t="n">
        <v>0.833333333333333</v>
      </c>
      <c r="E747" s="41"/>
      <c r="F747" s="41" t="s">
        <v>88</v>
      </c>
      <c r="G747" s="41" t="n">
        <v>5</v>
      </c>
      <c r="H747" s="41" t="s">
        <v>98</v>
      </c>
      <c r="I747" s="44"/>
      <c r="J747" s="44" t="s">
        <v>100</v>
      </c>
    </row>
    <row r="748" customFormat="false" ht="15" hidden="false" customHeight="false" outlineLevel="0" collapsed="false">
      <c r="B748" s="41" t="s">
        <v>14</v>
      </c>
      <c r="C748" s="42" t="n">
        <v>46232</v>
      </c>
      <c r="D748" s="43" t="n">
        <v>0.520833333333333</v>
      </c>
      <c r="E748" s="41" t="s">
        <v>102</v>
      </c>
      <c r="F748" s="41" t="s">
        <v>88</v>
      </c>
      <c r="G748" s="41" t="n">
        <v>1</v>
      </c>
      <c r="H748" s="41" t="s">
        <v>136</v>
      </c>
      <c r="I748" s="44" t="s">
        <v>137</v>
      </c>
      <c r="J748" s="44" t="s">
        <v>104</v>
      </c>
    </row>
    <row r="749" customFormat="false" ht="15" hidden="false" customHeight="false" outlineLevel="0" collapsed="false">
      <c r="B749" s="41" t="s">
        <v>15</v>
      </c>
      <c r="C749" s="42" t="n">
        <v>46232</v>
      </c>
      <c r="D749" s="43" t="n">
        <v>0.75</v>
      </c>
      <c r="E749" s="41"/>
      <c r="F749" s="41" t="s">
        <v>88</v>
      </c>
      <c r="G749" s="41" t="n">
        <v>1</v>
      </c>
      <c r="H749" s="41" t="s">
        <v>26</v>
      </c>
      <c r="I749" s="44" t="s">
        <v>137</v>
      </c>
      <c r="J749" s="44" t="s">
        <v>120</v>
      </c>
    </row>
    <row r="750" customFormat="false" ht="15" hidden="false" customHeight="false" outlineLevel="0" collapsed="false">
      <c r="B750" s="41" t="s">
        <v>16</v>
      </c>
      <c r="C750" s="42" t="n">
        <v>46232</v>
      </c>
      <c r="D750" s="43" t="n">
        <v>0.333333333333333</v>
      </c>
      <c r="E750" s="41"/>
      <c r="F750" s="41" t="s">
        <v>88</v>
      </c>
      <c r="G750" s="41" t="n">
        <v>1</v>
      </c>
      <c r="H750" s="41"/>
      <c r="I750" s="44"/>
      <c r="J750" s="44" t="s">
        <v>105</v>
      </c>
    </row>
    <row r="751" customFormat="false" ht="15" hidden="false" customHeight="false" outlineLevel="0" collapsed="false">
      <c r="B751" s="41" t="s">
        <v>16</v>
      </c>
      <c r="C751" s="42" t="n">
        <v>46232</v>
      </c>
      <c r="D751" s="43" t="n">
        <v>0.5</v>
      </c>
      <c r="E751" s="41"/>
      <c r="F751" s="41" t="s">
        <v>88</v>
      </c>
      <c r="G751" s="41" t="n">
        <v>2</v>
      </c>
      <c r="H751" s="41"/>
      <c r="I751" s="44"/>
      <c r="J751" s="44" t="s">
        <v>105</v>
      </c>
    </row>
    <row r="752" customFormat="false" ht="15" hidden="false" customHeight="false" outlineLevel="0" collapsed="false">
      <c r="B752" s="41" t="s">
        <v>16</v>
      </c>
      <c r="C752" s="42" t="n">
        <v>46232</v>
      </c>
      <c r="D752" s="43" t="n">
        <v>0.583333333333333</v>
      </c>
      <c r="E752" s="41"/>
      <c r="F752" s="41" t="s">
        <v>88</v>
      </c>
      <c r="G752" s="41" t="n">
        <v>3</v>
      </c>
      <c r="H752" s="41" t="s">
        <v>106</v>
      </c>
      <c r="I752" s="44"/>
      <c r="J752" s="44" t="s">
        <v>105</v>
      </c>
    </row>
    <row r="753" customFormat="false" ht="15" hidden="false" customHeight="false" outlineLevel="0" collapsed="false">
      <c r="B753" s="41" t="s">
        <v>16</v>
      </c>
      <c r="C753" s="42" t="n">
        <v>46232</v>
      </c>
      <c r="D753" s="43" t="n">
        <v>0.666666666666667</v>
      </c>
      <c r="E753" s="41"/>
      <c r="F753" s="41" t="s">
        <v>88</v>
      </c>
      <c r="G753" s="41" t="n">
        <v>4</v>
      </c>
      <c r="H753" s="41" t="s">
        <v>106</v>
      </c>
      <c r="I753" s="44"/>
      <c r="J753" s="44" t="s">
        <v>105</v>
      </c>
    </row>
    <row r="754" customFormat="false" ht="15" hidden="false" customHeight="false" outlineLevel="0" collapsed="false">
      <c r="B754" s="41" t="s">
        <v>16</v>
      </c>
      <c r="C754" s="42" t="n">
        <v>46232</v>
      </c>
      <c r="D754" s="43" t="n">
        <v>0.75</v>
      </c>
      <c r="E754" s="41"/>
      <c r="F754" s="41" t="s">
        <v>88</v>
      </c>
      <c r="G754" s="41" t="n">
        <v>5</v>
      </c>
      <c r="H754" s="41" t="s">
        <v>106</v>
      </c>
      <c r="I754" s="44"/>
      <c r="J754" s="44" t="s">
        <v>105</v>
      </c>
    </row>
    <row r="755" customFormat="false" ht="15" hidden="false" customHeight="false" outlineLevel="0" collapsed="false">
      <c r="B755" s="41" t="s">
        <v>8</v>
      </c>
      <c r="C755" s="42" t="n">
        <v>46232</v>
      </c>
      <c r="D755" s="43" t="n">
        <v>0.416666666666667</v>
      </c>
      <c r="E755" s="41" t="s">
        <v>99</v>
      </c>
      <c r="F755" s="41" t="s">
        <v>88</v>
      </c>
      <c r="G755" s="41" t="n">
        <v>1</v>
      </c>
      <c r="H755" s="41" t="s">
        <v>94</v>
      </c>
      <c r="I755" s="44"/>
      <c r="J755" s="44" t="s">
        <v>107</v>
      </c>
    </row>
    <row r="756" customFormat="false" ht="15" hidden="false" customHeight="false" outlineLevel="0" collapsed="false">
      <c r="B756" s="41" t="s">
        <v>8</v>
      </c>
      <c r="C756" s="42" t="n">
        <v>46232</v>
      </c>
      <c r="D756" s="43" t="n">
        <v>0.479166666666667</v>
      </c>
      <c r="E756" s="41" t="s">
        <v>101</v>
      </c>
      <c r="F756" s="41" t="s">
        <v>88</v>
      </c>
      <c r="G756" s="41" t="n">
        <v>2</v>
      </c>
      <c r="H756" s="41" t="s">
        <v>94</v>
      </c>
      <c r="I756" s="44"/>
      <c r="J756" s="44" t="s">
        <v>107</v>
      </c>
    </row>
    <row r="757" customFormat="false" ht="15" hidden="false" customHeight="false" outlineLevel="0" collapsed="false">
      <c r="B757" s="41" t="s">
        <v>8</v>
      </c>
      <c r="C757" s="42" t="n">
        <v>46232</v>
      </c>
      <c r="D757" s="43" t="n">
        <v>0.520833333333333</v>
      </c>
      <c r="E757" s="41"/>
      <c r="F757" s="41" t="s">
        <v>88</v>
      </c>
      <c r="G757" s="41" t="n">
        <v>3</v>
      </c>
      <c r="H757" s="41" t="s">
        <v>22</v>
      </c>
      <c r="I757" s="44"/>
      <c r="J757" s="44" t="s">
        <v>107</v>
      </c>
    </row>
    <row r="758" customFormat="false" ht="15" hidden="false" customHeight="false" outlineLevel="0" collapsed="false">
      <c r="B758" s="41" t="s">
        <v>8</v>
      </c>
      <c r="C758" s="42" t="n">
        <v>46232</v>
      </c>
      <c r="D758" s="43" t="n">
        <v>0.5625</v>
      </c>
      <c r="E758" s="41"/>
      <c r="F758" s="41" t="s">
        <v>88</v>
      </c>
      <c r="G758" s="41" t="n">
        <v>4</v>
      </c>
      <c r="H758" s="41" t="s">
        <v>23</v>
      </c>
      <c r="I758" s="44"/>
      <c r="J758" s="44" t="s">
        <v>107</v>
      </c>
    </row>
    <row r="759" customFormat="false" ht="15" hidden="false" customHeight="false" outlineLevel="0" collapsed="false">
      <c r="B759" s="41" t="s">
        <v>8</v>
      </c>
      <c r="C759" s="42" t="n">
        <v>46232</v>
      </c>
      <c r="D759" s="43" t="n">
        <v>0.708333333333333</v>
      </c>
      <c r="E759" s="41"/>
      <c r="F759" s="41" t="s">
        <v>88</v>
      </c>
      <c r="G759" s="41" t="n">
        <v>5</v>
      </c>
      <c r="H759" s="41" t="s">
        <v>24</v>
      </c>
      <c r="I759" s="44"/>
      <c r="J759" s="44" t="s">
        <v>107</v>
      </c>
    </row>
    <row r="760" customFormat="false" ht="15" hidden="false" customHeight="false" outlineLevel="0" collapsed="false">
      <c r="B760" s="41" t="s">
        <v>8</v>
      </c>
      <c r="C760" s="42" t="n">
        <v>46232</v>
      </c>
      <c r="D760" s="43" t="n">
        <v>0.833333333333333</v>
      </c>
      <c r="E760" s="41"/>
      <c r="F760" s="41" t="s">
        <v>88</v>
      </c>
      <c r="G760" s="41" t="n">
        <v>6</v>
      </c>
      <c r="H760" s="41" t="s">
        <v>98</v>
      </c>
      <c r="I760" s="44"/>
      <c r="J760" s="44" t="s">
        <v>107</v>
      </c>
    </row>
    <row r="761" customFormat="false" ht="15" hidden="false" customHeight="false" outlineLevel="0" collapsed="false">
      <c r="B761" s="41" t="s">
        <v>10</v>
      </c>
      <c r="C761" s="42" t="n">
        <v>46232</v>
      </c>
      <c r="D761" s="43" t="n">
        <v>0.375</v>
      </c>
      <c r="E761" s="41" t="s">
        <v>102</v>
      </c>
      <c r="F761" s="41" t="s">
        <v>88</v>
      </c>
      <c r="G761" s="41" t="n">
        <v>1</v>
      </c>
      <c r="H761" s="41" t="s">
        <v>94</v>
      </c>
      <c r="I761" s="44"/>
      <c r="J761" s="44" t="s">
        <v>125</v>
      </c>
    </row>
    <row r="762" customFormat="false" ht="15" hidden="false" customHeight="false" outlineLevel="0" collapsed="false">
      <c r="B762" s="41" t="s">
        <v>10</v>
      </c>
      <c r="C762" s="42" t="n">
        <v>46232</v>
      </c>
      <c r="D762" s="43" t="n">
        <v>0.46875</v>
      </c>
      <c r="E762" s="41" t="s">
        <v>109</v>
      </c>
      <c r="F762" s="41" t="s">
        <v>88</v>
      </c>
      <c r="G762" s="41" t="n">
        <v>2</v>
      </c>
      <c r="H762" s="41" t="s">
        <v>94</v>
      </c>
      <c r="I762" s="44"/>
      <c r="J762" s="44" t="s">
        <v>125</v>
      </c>
    </row>
    <row r="763" customFormat="false" ht="15" hidden="false" customHeight="false" outlineLevel="0" collapsed="false">
      <c r="B763" s="41" t="s">
        <v>10</v>
      </c>
      <c r="C763" s="42" t="n">
        <v>46232</v>
      </c>
      <c r="D763" s="43" t="n">
        <v>0.541666666666667</v>
      </c>
      <c r="E763" s="41"/>
      <c r="F763" s="41" t="s">
        <v>88</v>
      </c>
      <c r="G763" s="41" t="n">
        <v>3</v>
      </c>
      <c r="H763" s="41" t="s">
        <v>23</v>
      </c>
      <c r="I763" s="44"/>
      <c r="J763" s="44" t="s">
        <v>125</v>
      </c>
    </row>
    <row r="764" customFormat="false" ht="15" hidden="false" customHeight="false" outlineLevel="0" collapsed="false">
      <c r="B764" s="41" t="s">
        <v>10</v>
      </c>
      <c r="C764" s="42" t="n">
        <v>46232</v>
      </c>
      <c r="D764" s="43" t="n">
        <v>0.708333333333333</v>
      </c>
      <c r="E764" s="41"/>
      <c r="F764" s="41" t="s">
        <v>88</v>
      </c>
      <c r="G764" s="41" t="n">
        <v>4</v>
      </c>
      <c r="H764" s="41" t="s">
        <v>24</v>
      </c>
      <c r="I764" s="44"/>
      <c r="J764" s="44" t="s">
        <v>125</v>
      </c>
    </row>
    <row r="765" customFormat="false" ht="15" hidden="false" customHeight="false" outlineLevel="0" collapsed="false">
      <c r="B765" s="41" t="s">
        <v>10</v>
      </c>
      <c r="C765" s="42" t="n">
        <v>46232</v>
      </c>
      <c r="D765" s="43" t="n">
        <v>0.833333333333333</v>
      </c>
      <c r="E765" s="41"/>
      <c r="F765" s="41" t="s">
        <v>88</v>
      </c>
      <c r="G765" s="41" t="n">
        <v>5</v>
      </c>
      <c r="H765" s="41" t="s">
        <v>98</v>
      </c>
      <c r="I765" s="44"/>
      <c r="J765" s="44" t="s">
        <v>125</v>
      </c>
    </row>
    <row r="766" customFormat="false" ht="15" hidden="false" customHeight="false" outlineLevel="0" collapsed="false">
      <c r="B766" s="41" t="s">
        <v>12</v>
      </c>
      <c r="C766" s="42" t="n">
        <v>46232</v>
      </c>
      <c r="D766" s="43" t="n">
        <v>0.34375</v>
      </c>
      <c r="E766" s="41"/>
      <c r="F766" s="41" t="s">
        <v>88</v>
      </c>
      <c r="G766" s="41" t="n">
        <v>1</v>
      </c>
      <c r="H766" s="41" t="s">
        <v>12</v>
      </c>
      <c r="I766" s="44" t="s">
        <v>114</v>
      </c>
      <c r="J766" s="44" t="s">
        <v>115</v>
      </c>
    </row>
    <row r="767" customFormat="false" ht="15" hidden="false" customHeight="false" outlineLevel="0" collapsed="false">
      <c r="B767" s="41" t="s">
        <v>12</v>
      </c>
      <c r="C767" s="42" t="n">
        <v>46232</v>
      </c>
      <c r="D767" s="43" t="n">
        <v>0.416666666666667</v>
      </c>
      <c r="E767" s="41"/>
      <c r="F767" s="41" t="s">
        <v>88</v>
      </c>
      <c r="G767" s="41" t="n">
        <v>2</v>
      </c>
      <c r="H767" s="41" t="s">
        <v>12</v>
      </c>
      <c r="I767" s="44"/>
      <c r="J767" s="44" t="s">
        <v>115</v>
      </c>
    </row>
    <row r="768" customFormat="false" ht="15" hidden="false" customHeight="false" outlineLevel="0" collapsed="false">
      <c r="B768" s="41" t="s">
        <v>12</v>
      </c>
      <c r="C768" s="42" t="n">
        <v>46232</v>
      </c>
      <c r="D768" s="43" t="n">
        <v>0.458333333333333</v>
      </c>
      <c r="E768" s="41"/>
      <c r="F768" s="41" t="s">
        <v>88</v>
      </c>
      <c r="G768" s="41" t="n">
        <v>3</v>
      </c>
      <c r="H768" s="41" t="s">
        <v>113</v>
      </c>
      <c r="I768" s="44"/>
      <c r="J768" s="44" t="s">
        <v>115</v>
      </c>
    </row>
    <row r="769" customFormat="false" ht="15" hidden="false" customHeight="false" outlineLevel="0" collapsed="false">
      <c r="B769" s="41" t="s">
        <v>12</v>
      </c>
      <c r="C769" s="42" t="n">
        <v>46232</v>
      </c>
      <c r="D769" s="43" t="n">
        <v>0.541666666666667</v>
      </c>
      <c r="E769" s="41"/>
      <c r="F769" s="41" t="s">
        <v>88</v>
      </c>
      <c r="G769" s="41" t="n">
        <v>4</v>
      </c>
      <c r="H769" s="41" t="s">
        <v>12</v>
      </c>
      <c r="I769" s="44"/>
      <c r="J769" s="44" t="s">
        <v>115</v>
      </c>
    </row>
    <row r="770" customFormat="false" ht="15" hidden="false" customHeight="false" outlineLevel="0" collapsed="false">
      <c r="B770" s="41" t="s">
        <v>17</v>
      </c>
      <c r="C770" s="42" t="n">
        <v>46233</v>
      </c>
      <c r="D770" s="43" t="n">
        <v>0.479166666666667</v>
      </c>
      <c r="E770" s="41"/>
      <c r="F770" s="41" t="s">
        <v>88</v>
      </c>
      <c r="G770" s="41" t="n">
        <v>1</v>
      </c>
      <c r="H770" s="41" t="s">
        <v>89</v>
      </c>
      <c r="I770" s="44" t="s">
        <v>116</v>
      </c>
      <c r="J770" s="44" t="s">
        <v>91</v>
      </c>
    </row>
    <row r="771" customFormat="false" ht="15" hidden="false" customHeight="false" outlineLevel="0" collapsed="false">
      <c r="B771" s="41" t="s">
        <v>17</v>
      </c>
      <c r="C771" s="42" t="n">
        <v>46233</v>
      </c>
      <c r="D771" s="43" t="n">
        <v>0.625</v>
      </c>
      <c r="E771" s="41" t="s">
        <v>92</v>
      </c>
      <c r="F771" s="41" t="s">
        <v>88</v>
      </c>
      <c r="G771" s="41" t="n">
        <v>2</v>
      </c>
      <c r="H771" s="41"/>
      <c r="I771" s="44" t="s">
        <v>116</v>
      </c>
      <c r="J771" s="44" t="s">
        <v>91</v>
      </c>
    </row>
    <row r="772" customFormat="false" ht="15" hidden="false" customHeight="false" outlineLevel="0" collapsed="false">
      <c r="B772" s="41" t="s">
        <v>11</v>
      </c>
      <c r="C772" s="42" t="n">
        <v>46233</v>
      </c>
      <c r="D772" s="43" t="n">
        <v>0.34375</v>
      </c>
      <c r="E772" s="41" t="s">
        <v>93</v>
      </c>
      <c r="F772" s="41" t="s">
        <v>88</v>
      </c>
      <c r="G772" s="41" t="n">
        <v>1</v>
      </c>
      <c r="H772" s="41"/>
      <c r="I772" s="44" t="s">
        <v>95</v>
      </c>
      <c r="J772" s="44" t="s">
        <v>96</v>
      </c>
    </row>
    <row r="773" customFormat="false" ht="15" hidden="false" customHeight="false" outlineLevel="0" collapsed="false">
      <c r="B773" s="41" t="s">
        <v>11</v>
      </c>
      <c r="C773" s="42" t="n">
        <v>46233</v>
      </c>
      <c r="D773" s="43" t="n">
        <v>0.458333333333333</v>
      </c>
      <c r="E773" s="41" t="s">
        <v>97</v>
      </c>
      <c r="F773" s="41" t="s">
        <v>88</v>
      </c>
      <c r="G773" s="41" t="n">
        <v>2</v>
      </c>
      <c r="H773" s="41"/>
      <c r="I773" s="44"/>
      <c r="J773" s="44" t="s">
        <v>96</v>
      </c>
    </row>
    <row r="774" customFormat="false" ht="15" hidden="false" customHeight="false" outlineLevel="0" collapsed="false">
      <c r="B774" s="41" t="s">
        <v>11</v>
      </c>
      <c r="C774" s="42" t="n">
        <v>46233</v>
      </c>
      <c r="D774" s="43" t="n">
        <v>0.583333333333333</v>
      </c>
      <c r="E774" s="41"/>
      <c r="F774" s="41" t="s">
        <v>88</v>
      </c>
      <c r="G774" s="41" t="n">
        <v>3</v>
      </c>
      <c r="H774" s="41" t="s">
        <v>23</v>
      </c>
      <c r="I774" s="44"/>
      <c r="J774" s="44" t="s">
        <v>96</v>
      </c>
    </row>
    <row r="775" customFormat="false" ht="15" hidden="false" customHeight="false" outlineLevel="0" collapsed="false">
      <c r="B775" s="41" t="s">
        <v>11</v>
      </c>
      <c r="C775" s="42" t="n">
        <v>46233</v>
      </c>
      <c r="D775" s="43" t="n">
        <v>0.708333333333333</v>
      </c>
      <c r="E775" s="41"/>
      <c r="F775" s="41" t="s">
        <v>88</v>
      </c>
      <c r="G775" s="41" t="n">
        <v>4</v>
      </c>
      <c r="H775" s="41" t="s">
        <v>24</v>
      </c>
      <c r="I775" s="44"/>
      <c r="J775" s="44" t="s">
        <v>96</v>
      </c>
    </row>
    <row r="776" customFormat="false" ht="15" hidden="false" customHeight="false" outlineLevel="0" collapsed="false">
      <c r="B776" s="41" t="s">
        <v>11</v>
      </c>
      <c r="C776" s="42" t="n">
        <v>46233</v>
      </c>
      <c r="D776" s="43" t="n">
        <v>0.833333333333333</v>
      </c>
      <c r="E776" s="41"/>
      <c r="F776" s="41" t="s">
        <v>88</v>
      </c>
      <c r="G776" s="41" t="n">
        <v>5</v>
      </c>
      <c r="H776" s="41" t="s">
        <v>98</v>
      </c>
      <c r="I776" s="44"/>
      <c r="J776" s="44" t="s">
        <v>96</v>
      </c>
    </row>
    <row r="777" customFormat="false" ht="15" hidden="false" customHeight="false" outlineLevel="0" collapsed="false">
      <c r="B777" s="41" t="s">
        <v>9</v>
      </c>
      <c r="C777" s="42" t="n">
        <v>46233</v>
      </c>
      <c r="D777" s="43" t="n">
        <v>0.34375</v>
      </c>
      <c r="E777" s="41" t="s">
        <v>93</v>
      </c>
      <c r="F777" s="41" t="s">
        <v>88</v>
      </c>
      <c r="G777" s="41" t="n">
        <v>1</v>
      </c>
      <c r="H777" s="41"/>
      <c r="I777" s="44"/>
      <c r="J777" s="44" t="s">
        <v>100</v>
      </c>
    </row>
    <row r="778" customFormat="false" ht="15" hidden="false" customHeight="false" outlineLevel="0" collapsed="false">
      <c r="B778" s="41" t="s">
        <v>9</v>
      </c>
      <c r="C778" s="42" t="n">
        <v>46233</v>
      </c>
      <c r="D778" s="43" t="n">
        <v>0.385416666666667</v>
      </c>
      <c r="E778" s="41" t="s">
        <v>108</v>
      </c>
      <c r="F778" s="41" t="s">
        <v>88</v>
      </c>
      <c r="G778" s="41" t="n">
        <v>2</v>
      </c>
      <c r="H778" s="41"/>
      <c r="I778" s="44"/>
      <c r="J778" s="44" t="s">
        <v>100</v>
      </c>
    </row>
    <row r="779" customFormat="false" ht="15" hidden="false" customHeight="false" outlineLevel="0" collapsed="false">
      <c r="B779" s="41" t="s">
        <v>9</v>
      </c>
      <c r="C779" s="42" t="n">
        <v>46233</v>
      </c>
      <c r="D779" s="43" t="n">
        <v>0.479166666666667</v>
      </c>
      <c r="E779" s="41" t="s">
        <v>109</v>
      </c>
      <c r="F779" s="41" t="s">
        <v>88</v>
      </c>
      <c r="G779" s="41" t="n">
        <v>3</v>
      </c>
      <c r="H779" s="41"/>
      <c r="I779" s="44"/>
      <c r="J779" s="44" t="s">
        <v>100</v>
      </c>
    </row>
    <row r="780" customFormat="false" ht="15" hidden="false" customHeight="false" outlineLevel="0" collapsed="false">
      <c r="B780" s="41" t="s">
        <v>9</v>
      </c>
      <c r="C780" s="42" t="n">
        <v>46233</v>
      </c>
      <c r="D780" s="43" t="n">
        <v>0.541666666666667</v>
      </c>
      <c r="E780" s="41"/>
      <c r="F780" s="41" t="s">
        <v>88</v>
      </c>
      <c r="G780" s="41" t="n">
        <v>4</v>
      </c>
      <c r="H780" s="41" t="s">
        <v>23</v>
      </c>
      <c r="I780" s="44"/>
      <c r="J780" s="44" t="s">
        <v>100</v>
      </c>
    </row>
    <row r="781" customFormat="false" ht="15" hidden="false" customHeight="false" outlineLevel="0" collapsed="false">
      <c r="B781" s="41" t="s">
        <v>9</v>
      </c>
      <c r="C781" s="42" t="n">
        <v>46233</v>
      </c>
      <c r="D781" s="43" t="n">
        <v>0.708333333333333</v>
      </c>
      <c r="E781" s="41"/>
      <c r="F781" s="41" t="s">
        <v>88</v>
      </c>
      <c r="G781" s="41" t="n">
        <v>5</v>
      </c>
      <c r="H781" s="41" t="s">
        <v>24</v>
      </c>
      <c r="I781" s="44"/>
      <c r="J781" s="44" t="s">
        <v>100</v>
      </c>
    </row>
    <row r="782" customFormat="false" ht="15" hidden="false" customHeight="false" outlineLevel="0" collapsed="false">
      <c r="B782" s="41" t="s">
        <v>9</v>
      </c>
      <c r="C782" s="42" t="n">
        <v>46233</v>
      </c>
      <c r="D782" s="43" t="n">
        <v>0.833333333333333</v>
      </c>
      <c r="E782" s="41"/>
      <c r="F782" s="41" t="s">
        <v>88</v>
      </c>
      <c r="G782" s="41" t="n">
        <v>6</v>
      </c>
      <c r="H782" s="41" t="s">
        <v>98</v>
      </c>
      <c r="I782" s="44"/>
      <c r="J782" s="44" t="s">
        <v>100</v>
      </c>
    </row>
    <row r="783" customFormat="false" ht="15" hidden="false" customHeight="false" outlineLevel="0" collapsed="false">
      <c r="B783" s="41" t="s">
        <v>14</v>
      </c>
      <c r="C783" s="42" t="n">
        <v>46233</v>
      </c>
      <c r="D783" s="43" t="n">
        <v>0.520833333333333</v>
      </c>
      <c r="E783" s="41" t="s">
        <v>102</v>
      </c>
      <c r="F783" s="41" t="s">
        <v>88</v>
      </c>
      <c r="G783" s="41" t="n">
        <v>1</v>
      </c>
      <c r="H783" s="41" t="s">
        <v>136</v>
      </c>
      <c r="I783" s="44" t="s">
        <v>137</v>
      </c>
      <c r="J783" s="44" t="s">
        <v>104</v>
      </c>
    </row>
    <row r="784" customFormat="false" ht="15" hidden="false" customHeight="false" outlineLevel="0" collapsed="false">
      <c r="B784" s="41" t="s">
        <v>15</v>
      </c>
      <c r="C784" s="42" t="n">
        <v>46233</v>
      </c>
      <c r="D784" s="43" t="n">
        <v>0.75</v>
      </c>
      <c r="E784" s="41"/>
      <c r="F784" s="41" t="s">
        <v>88</v>
      </c>
      <c r="G784" s="41" t="n">
        <v>1</v>
      </c>
      <c r="H784" s="41" t="s">
        <v>26</v>
      </c>
      <c r="I784" s="44" t="s">
        <v>137</v>
      </c>
      <c r="J784" s="44" t="s">
        <v>120</v>
      </c>
    </row>
    <row r="785" customFormat="false" ht="15" hidden="false" customHeight="false" outlineLevel="0" collapsed="false">
      <c r="B785" s="41" t="s">
        <v>16</v>
      </c>
      <c r="C785" s="42" t="n">
        <v>46233</v>
      </c>
      <c r="D785" s="43" t="n">
        <v>0.333333333333333</v>
      </c>
      <c r="E785" s="41"/>
      <c r="F785" s="41" t="s">
        <v>88</v>
      </c>
      <c r="G785" s="41" t="n">
        <v>1</v>
      </c>
      <c r="H785" s="41"/>
      <c r="I785" s="44"/>
      <c r="J785" s="44" t="s">
        <v>105</v>
      </c>
    </row>
    <row r="786" customFormat="false" ht="15" hidden="false" customHeight="false" outlineLevel="0" collapsed="false">
      <c r="B786" s="41" t="s">
        <v>16</v>
      </c>
      <c r="C786" s="42" t="n">
        <v>46233</v>
      </c>
      <c r="D786" s="43" t="n">
        <v>0.5</v>
      </c>
      <c r="E786" s="41"/>
      <c r="F786" s="41" t="s">
        <v>88</v>
      </c>
      <c r="G786" s="41" t="n">
        <v>2</v>
      </c>
      <c r="H786" s="41"/>
      <c r="I786" s="44"/>
      <c r="J786" s="44" t="s">
        <v>105</v>
      </c>
    </row>
    <row r="787" customFormat="false" ht="15" hidden="false" customHeight="false" outlineLevel="0" collapsed="false">
      <c r="B787" s="41" t="s">
        <v>16</v>
      </c>
      <c r="C787" s="42" t="n">
        <v>46233</v>
      </c>
      <c r="D787" s="43" t="n">
        <v>0.583333333333333</v>
      </c>
      <c r="E787" s="41"/>
      <c r="F787" s="41" t="s">
        <v>88</v>
      </c>
      <c r="G787" s="41" t="n">
        <v>3</v>
      </c>
      <c r="H787" s="41" t="s">
        <v>106</v>
      </c>
      <c r="I787" s="44"/>
      <c r="J787" s="44" t="s">
        <v>105</v>
      </c>
    </row>
    <row r="788" customFormat="false" ht="15" hidden="false" customHeight="false" outlineLevel="0" collapsed="false">
      <c r="B788" s="41" t="s">
        <v>16</v>
      </c>
      <c r="C788" s="42" t="n">
        <v>46233</v>
      </c>
      <c r="D788" s="43" t="n">
        <v>0.666666666666667</v>
      </c>
      <c r="E788" s="41"/>
      <c r="F788" s="41" t="s">
        <v>88</v>
      </c>
      <c r="G788" s="41" t="n">
        <v>4</v>
      </c>
      <c r="H788" s="41" t="s">
        <v>106</v>
      </c>
      <c r="I788" s="44"/>
      <c r="J788" s="44" t="s">
        <v>105</v>
      </c>
    </row>
    <row r="789" customFormat="false" ht="15" hidden="false" customHeight="false" outlineLevel="0" collapsed="false">
      <c r="B789" s="41" t="s">
        <v>16</v>
      </c>
      <c r="C789" s="42" t="n">
        <v>46233</v>
      </c>
      <c r="D789" s="43" t="n">
        <v>0.75</v>
      </c>
      <c r="E789" s="41"/>
      <c r="F789" s="41" t="s">
        <v>88</v>
      </c>
      <c r="G789" s="41" t="n">
        <v>5</v>
      </c>
      <c r="H789" s="41" t="s">
        <v>106</v>
      </c>
      <c r="I789" s="44"/>
      <c r="J789" s="44" t="s">
        <v>105</v>
      </c>
    </row>
    <row r="790" customFormat="false" ht="15" hidden="false" customHeight="false" outlineLevel="0" collapsed="false">
      <c r="B790" s="41" t="s">
        <v>8</v>
      </c>
      <c r="C790" s="42" t="n">
        <v>46233</v>
      </c>
      <c r="D790" s="43" t="n">
        <v>0.34375</v>
      </c>
      <c r="E790" s="41" t="s">
        <v>93</v>
      </c>
      <c r="F790" s="41" t="s">
        <v>88</v>
      </c>
      <c r="G790" s="41" t="n">
        <v>1</v>
      </c>
      <c r="H790" s="41"/>
      <c r="I790" s="44"/>
      <c r="J790" s="44" t="s">
        <v>107</v>
      </c>
    </row>
    <row r="791" customFormat="false" ht="15" hidden="false" customHeight="false" outlineLevel="0" collapsed="false">
      <c r="B791" s="41" t="s">
        <v>8</v>
      </c>
      <c r="C791" s="42" t="n">
        <v>46233</v>
      </c>
      <c r="D791" s="43" t="n">
        <v>0.385416666666667</v>
      </c>
      <c r="E791" s="41" t="s">
        <v>108</v>
      </c>
      <c r="F791" s="41" t="s">
        <v>88</v>
      </c>
      <c r="G791" s="41" t="n">
        <v>2</v>
      </c>
      <c r="H791" s="41"/>
      <c r="I791" s="44"/>
      <c r="J791" s="44" t="s">
        <v>107</v>
      </c>
    </row>
    <row r="792" customFormat="false" ht="15" hidden="false" customHeight="false" outlineLevel="0" collapsed="false">
      <c r="B792" s="41" t="s">
        <v>8</v>
      </c>
      <c r="C792" s="42" t="n">
        <v>46233</v>
      </c>
      <c r="D792" s="43" t="n">
        <v>0.479166666666667</v>
      </c>
      <c r="E792" s="41" t="s">
        <v>109</v>
      </c>
      <c r="F792" s="41" t="s">
        <v>88</v>
      </c>
      <c r="G792" s="41" t="n">
        <v>3</v>
      </c>
      <c r="H792" s="41"/>
      <c r="I792" s="44"/>
      <c r="J792" s="44" t="s">
        <v>107</v>
      </c>
    </row>
    <row r="793" customFormat="false" ht="15" hidden="false" customHeight="false" outlineLevel="0" collapsed="false">
      <c r="B793" s="41" t="s">
        <v>8</v>
      </c>
      <c r="C793" s="42" t="n">
        <v>46233</v>
      </c>
      <c r="D793" s="43" t="n">
        <v>0.520833333333333</v>
      </c>
      <c r="E793" s="41"/>
      <c r="F793" s="41" t="s">
        <v>88</v>
      </c>
      <c r="G793" s="41" t="n">
        <v>4</v>
      </c>
      <c r="H793" s="41" t="s">
        <v>22</v>
      </c>
      <c r="I793" s="44"/>
      <c r="J793" s="44" t="s">
        <v>107</v>
      </c>
    </row>
    <row r="794" customFormat="false" ht="15" hidden="false" customHeight="false" outlineLevel="0" collapsed="false">
      <c r="B794" s="41" t="s">
        <v>8</v>
      </c>
      <c r="C794" s="42" t="n">
        <v>46233</v>
      </c>
      <c r="D794" s="43" t="n">
        <v>0.604166666666667</v>
      </c>
      <c r="E794" s="41"/>
      <c r="F794" s="41" t="s">
        <v>88</v>
      </c>
      <c r="G794" s="41" t="n">
        <v>5</v>
      </c>
      <c r="H794" s="41" t="s">
        <v>23</v>
      </c>
      <c r="I794" s="44"/>
      <c r="J794" s="44" t="s">
        <v>107</v>
      </c>
    </row>
    <row r="795" customFormat="false" ht="15" hidden="false" customHeight="false" outlineLevel="0" collapsed="false">
      <c r="B795" s="41" t="s">
        <v>8</v>
      </c>
      <c r="C795" s="42" t="n">
        <v>46233</v>
      </c>
      <c r="D795" s="43" t="n">
        <v>0.708333333333333</v>
      </c>
      <c r="E795" s="41"/>
      <c r="F795" s="41" t="s">
        <v>88</v>
      </c>
      <c r="G795" s="41" t="n">
        <v>6</v>
      </c>
      <c r="H795" s="41" t="s">
        <v>24</v>
      </c>
      <c r="I795" s="44"/>
      <c r="J795" s="44" t="s">
        <v>107</v>
      </c>
    </row>
    <row r="796" customFormat="false" ht="15" hidden="false" customHeight="false" outlineLevel="0" collapsed="false">
      <c r="B796" s="41" t="s">
        <v>8</v>
      </c>
      <c r="C796" s="42" t="n">
        <v>46233</v>
      </c>
      <c r="D796" s="43" t="n">
        <v>0.833333333333333</v>
      </c>
      <c r="E796" s="41"/>
      <c r="F796" s="41" t="s">
        <v>88</v>
      </c>
      <c r="G796" s="41" t="n">
        <v>7</v>
      </c>
      <c r="H796" s="41" t="s">
        <v>98</v>
      </c>
      <c r="I796" s="44"/>
      <c r="J796" s="44" t="s">
        <v>107</v>
      </c>
    </row>
    <row r="797" customFormat="false" ht="15" hidden="false" customHeight="false" outlineLevel="0" collapsed="false">
      <c r="B797" s="41" t="s">
        <v>12</v>
      </c>
      <c r="C797" s="42" t="n">
        <v>46233</v>
      </c>
      <c r="D797" s="43" t="n">
        <v>0.375</v>
      </c>
      <c r="E797" s="41"/>
      <c r="F797" s="41" t="s">
        <v>88</v>
      </c>
      <c r="G797" s="41" t="n">
        <v>1</v>
      </c>
      <c r="H797" s="41" t="s">
        <v>12</v>
      </c>
      <c r="I797" s="44" t="s">
        <v>114</v>
      </c>
      <c r="J797" s="44" t="s">
        <v>115</v>
      </c>
    </row>
    <row r="798" customFormat="false" ht="15" hidden="false" customHeight="false" outlineLevel="0" collapsed="false">
      <c r="B798" s="41" t="s">
        <v>12</v>
      </c>
      <c r="C798" s="42" t="n">
        <v>46233</v>
      </c>
      <c r="D798" s="43" t="n">
        <v>0.416666666666667</v>
      </c>
      <c r="E798" s="41"/>
      <c r="F798" s="41" t="s">
        <v>88</v>
      </c>
      <c r="G798" s="41" t="n">
        <v>2</v>
      </c>
      <c r="H798" s="41" t="s">
        <v>113</v>
      </c>
      <c r="I798" s="44"/>
      <c r="J798" s="44" t="s">
        <v>115</v>
      </c>
    </row>
    <row r="799" customFormat="false" ht="15" hidden="false" customHeight="false" outlineLevel="0" collapsed="false">
      <c r="B799" s="41" t="s">
        <v>12</v>
      </c>
      <c r="C799" s="42" t="n">
        <v>46233</v>
      </c>
      <c r="D799" s="43" t="n">
        <v>0.583333333333333</v>
      </c>
      <c r="E799" s="41"/>
      <c r="F799" s="41" t="s">
        <v>88</v>
      </c>
      <c r="G799" s="41" t="n">
        <v>3</v>
      </c>
      <c r="H799" s="41" t="s">
        <v>12</v>
      </c>
      <c r="I799" s="44"/>
      <c r="J799" s="44" t="s">
        <v>115</v>
      </c>
    </row>
    <row r="800" customFormat="false" ht="15" hidden="false" customHeight="false" outlineLevel="0" collapsed="false">
      <c r="B800" s="41" t="s">
        <v>11</v>
      </c>
      <c r="C800" s="42" t="n">
        <v>46234</v>
      </c>
      <c r="D800" s="43" t="n">
        <v>0.34375</v>
      </c>
      <c r="E800" s="41" t="s">
        <v>93</v>
      </c>
      <c r="F800" s="41" t="s">
        <v>88</v>
      </c>
      <c r="G800" s="41" t="n">
        <v>1</v>
      </c>
      <c r="H800" s="41" t="s">
        <v>94</v>
      </c>
      <c r="I800" s="44" t="s">
        <v>95</v>
      </c>
      <c r="J800" s="44" t="s">
        <v>96</v>
      </c>
    </row>
    <row r="801" customFormat="false" ht="15" hidden="false" customHeight="false" outlineLevel="0" collapsed="false">
      <c r="B801" s="41" t="s">
        <v>11</v>
      </c>
      <c r="C801" s="42" t="n">
        <v>46234</v>
      </c>
      <c r="D801" s="43" t="n">
        <v>0.479166666666667</v>
      </c>
      <c r="E801" s="41" t="s">
        <v>97</v>
      </c>
      <c r="F801" s="41" t="s">
        <v>88</v>
      </c>
      <c r="G801" s="41" t="n">
        <v>2</v>
      </c>
      <c r="H801" s="41" t="s">
        <v>94</v>
      </c>
      <c r="I801" s="44"/>
      <c r="J801" s="44" t="s">
        <v>96</v>
      </c>
    </row>
    <row r="802" customFormat="false" ht="15" hidden="false" customHeight="false" outlineLevel="0" collapsed="false">
      <c r="B802" s="41" t="s">
        <v>11</v>
      </c>
      <c r="C802" s="42" t="n">
        <v>46234</v>
      </c>
      <c r="D802" s="43" t="n">
        <v>0.583333333333333</v>
      </c>
      <c r="E802" s="41"/>
      <c r="F802" s="41" t="s">
        <v>88</v>
      </c>
      <c r="G802" s="41" t="n">
        <v>3</v>
      </c>
      <c r="H802" s="41" t="s">
        <v>23</v>
      </c>
      <c r="I802" s="44"/>
      <c r="J802" s="44" t="s">
        <v>96</v>
      </c>
    </row>
    <row r="803" customFormat="false" ht="15" hidden="false" customHeight="false" outlineLevel="0" collapsed="false">
      <c r="B803" s="41" t="s">
        <v>11</v>
      </c>
      <c r="C803" s="42" t="n">
        <v>46234</v>
      </c>
      <c r="D803" s="43" t="n">
        <v>0.708333333333333</v>
      </c>
      <c r="E803" s="41"/>
      <c r="F803" s="41" t="s">
        <v>88</v>
      </c>
      <c r="G803" s="41" t="n">
        <v>4</v>
      </c>
      <c r="H803" s="41" t="s">
        <v>24</v>
      </c>
      <c r="I803" s="44"/>
      <c r="J803" s="44" t="s">
        <v>96</v>
      </c>
    </row>
    <row r="804" customFormat="false" ht="15" hidden="false" customHeight="false" outlineLevel="0" collapsed="false">
      <c r="B804" s="41" t="s">
        <v>11</v>
      </c>
      <c r="C804" s="42" t="n">
        <v>46234</v>
      </c>
      <c r="D804" s="43" t="n">
        <v>0.833333333333333</v>
      </c>
      <c r="E804" s="41"/>
      <c r="F804" s="41" t="s">
        <v>88</v>
      </c>
      <c r="G804" s="41" t="n">
        <v>5</v>
      </c>
      <c r="H804" s="41" t="s">
        <v>98</v>
      </c>
      <c r="I804" s="44"/>
      <c r="J804" s="44" t="s">
        <v>96</v>
      </c>
    </row>
    <row r="805" customFormat="false" ht="15" hidden="false" customHeight="false" outlineLevel="0" collapsed="false">
      <c r="B805" s="41" t="s">
        <v>14</v>
      </c>
      <c r="C805" s="42" t="n">
        <v>46234</v>
      </c>
      <c r="D805" s="43" t="n">
        <v>0.520833333333333</v>
      </c>
      <c r="E805" s="41" t="s">
        <v>102</v>
      </c>
      <c r="F805" s="41" t="s">
        <v>88</v>
      </c>
      <c r="G805" s="41" t="n">
        <v>1</v>
      </c>
      <c r="H805" s="41" t="s">
        <v>136</v>
      </c>
      <c r="I805" s="44" t="s">
        <v>137</v>
      </c>
      <c r="J805" s="44" t="s">
        <v>104</v>
      </c>
    </row>
    <row r="806" customFormat="false" ht="15" hidden="false" customHeight="false" outlineLevel="0" collapsed="false">
      <c r="B806" s="41" t="s">
        <v>15</v>
      </c>
      <c r="C806" s="42" t="n">
        <v>46234</v>
      </c>
      <c r="D806" s="43" t="n">
        <v>0.75</v>
      </c>
      <c r="E806" s="41"/>
      <c r="F806" s="41" t="s">
        <v>88</v>
      </c>
      <c r="G806" s="41" t="n">
        <v>1</v>
      </c>
      <c r="H806" s="41" t="s">
        <v>26</v>
      </c>
      <c r="I806" s="44" t="s">
        <v>137</v>
      </c>
      <c r="J806" s="44" t="s">
        <v>120</v>
      </c>
    </row>
    <row r="807" customFormat="false" ht="15" hidden="false" customHeight="false" outlineLevel="0" collapsed="false">
      <c r="B807" s="41" t="s">
        <v>16</v>
      </c>
      <c r="C807" s="42" t="n">
        <v>46234</v>
      </c>
      <c r="D807" s="43" t="n">
        <v>0.333333333333333</v>
      </c>
      <c r="E807" s="41"/>
      <c r="F807" s="41" t="s">
        <v>88</v>
      </c>
      <c r="G807" s="41" t="n">
        <v>1</v>
      </c>
      <c r="H807" s="41"/>
      <c r="I807" s="44"/>
      <c r="J807" s="44" t="s">
        <v>105</v>
      </c>
    </row>
    <row r="808" customFormat="false" ht="15" hidden="false" customHeight="false" outlineLevel="0" collapsed="false">
      <c r="B808" s="41" t="s">
        <v>16</v>
      </c>
      <c r="C808" s="42" t="n">
        <v>46234</v>
      </c>
      <c r="D808" s="43" t="n">
        <v>0.5</v>
      </c>
      <c r="E808" s="41"/>
      <c r="F808" s="41" t="s">
        <v>88</v>
      </c>
      <c r="G808" s="41" t="n">
        <v>2</v>
      </c>
      <c r="H808" s="41"/>
      <c r="I808" s="44"/>
      <c r="J808" s="44" t="s">
        <v>105</v>
      </c>
    </row>
    <row r="809" customFormat="false" ht="15" hidden="false" customHeight="false" outlineLevel="0" collapsed="false">
      <c r="B809" s="41" t="s">
        <v>16</v>
      </c>
      <c r="C809" s="42" t="n">
        <v>46234</v>
      </c>
      <c r="D809" s="43" t="n">
        <v>0.583333333333333</v>
      </c>
      <c r="E809" s="41"/>
      <c r="F809" s="41" t="s">
        <v>88</v>
      </c>
      <c r="G809" s="41" t="n">
        <v>3</v>
      </c>
      <c r="H809" s="41" t="s">
        <v>106</v>
      </c>
      <c r="I809" s="44"/>
      <c r="J809" s="44" t="s">
        <v>105</v>
      </c>
    </row>
    <row r="810" customFormat="false" ht="15" hidden="false" customHeight="false" outlineLevel="0" collapsed="false">
      <c r="B810" s="41" t="s">
        <v>16</v>
      </c>
      <c r="C810" s="42" t="n">
        <v>46234</v>
      </c>
      <c r="D810" s="43" t="n">
        <v>0.666666666666667</v>
      </c>
      <c r="E810" s="41"/>
      <c r="F810" s="41" t="s">
        <v>88</v>
      </c>
      <c r="G810" s="41" t="n">
        <v>4</v>
      </c>
      <c r="H810" s="41" t="s">
        <v>106</v>
      </c>
      <c r="I810" s="44"/>
      <c r="J810" s="44" t="s">
        <v>105</v>
      </c>
    </row>
    <row r="811" customFormat="false" ht="15" hidden="false" customHeight="false" outlineLevel="0" collapsed="false">
      <c r="B811" s="41" t="s">
        <v>16</v>
      </c>
      <c r="C811" s="42" t="n">
        <v>46234</v>
      </c>
      <c r="D811" s="43" t="n">
        <v>0.75</v>
      </c>
      <c r="E811" s="41"/>
      <c r="F811" s="41" t="s">
        <v>88</v>
      </c>
      <c r="G811" s="41" t="n">
        <v>5</v>
      </c>
      <c r="H811" s="41" t="s">
        <v>106</v>
      </c>
      <c r="I811" s="44"/>
      <c r="J811" s="44" t="s">
        <v>105</v>
      </c>
    </row>
    <row r="812" customFormat="false" ht="15" hidden="false" customHeight="false" outlineLevel="0" collapsed="false">
      <c r="B812" s="41" t="s">
        <v>8</v>
      </c>
      <c r="C812" s="42" t="n">
        <v>46234</v>
      </c>
      <c r="D812" s="43" t="n">
        <v>0.354166666666667</v>
      </c>
      <c r="E812" s="41" t="s">
        <v>93</v>
      </c>
      <c r="F812" s="41" t="s">
        <v>88</v>
      </c>
      <c r="G812" s="41" t="n">
        <v>1</v>
      </c>
      <c r="H812" s="41" t="s">
        <v>94</v>
      </c>
      <c r="I812" s="44"/>
      <c r="J812" s="44" t="s">
        <v>107</v>
      </c>
    </row>
    <row r="813" customFormat="false" ht="15" hidden="false" customHeight="false" outlineLevel="0" collapsed="false">
      <c r="B813" s="41" t="s">
        <v>8</v>
      </c>
      <c r="C813" s="42" t="n">
        <v>46234</v>
      </c>
      <c r="D813" s="43" t="n">
        <v>0.458333333333333</v>
      </c>
      <c r="E813" s="41" t="s">
        <v>97</v>
      </c>
      <c r="F813" s="41" t="s">
        <v>88</v>
      </c>
      <c r="G813" s="41" t="n">
        <v>2</v>
      </c>
      <c r="H813" s="41" t="s">
        <v>94</v>
      </c>
      <c r="I813" s="44"/>
      <c r="J813" s="44" t="s">
        <v>107</v>
      </c>
    </row>
    <row r="814" customFormat="false" ht="15" hidden="false" customHeight="false" outlineLevel="0" collapsed="false">
      <c r="B814" s="41" t="s">
        <v>8</v>
      </c>
      <c r="C814" s="42" t="n">
        <v>46234</v>
      </c>
      <c r="D814" s="43" t="n">
        <v>0.520833333333333</v>
      </c>
      <c r="E814" s="41"/>
      <c r="F814" s="41" t="s">
        <v>88</v>
      </c>
      <c r="G814" s="41" t="n">
        <v>3</v>
      </c>
      <c r="H814" s="41" t="s">
        <v>22</v>
      </c>
      <c r="I814" s="44"/>
      <c r="J814" s="44" t="s">
        <v>107</v>
      </c>
    </row>
    <row r="815" customFormat="false" ht="15" hidden="false" customHeight="false" outlineLevel="0" collapsed="false">
      <c r="B815" s="41" t="s">
        <v>8</v>
      </c>
      <c r="C815" s="42" t="n">
        <v>46234</v>
      </c>
      <c r="D815" s="43" t="n">
        <v>0.5625</v>
      </c>
      <c r="E815" s="41"/>
      <c r="F815" s="41" t="s">
        <v>88</v>
      </c>
      <c r="G815" s="41" t="n">
        <v>4</v>
      </c>
      <c r="H815" s="41" t="s">
        <v>23</v>
      </c>
      <c r="I815" s="44"/>
      <c r="J815" s="44" t="s">
        <v>107</v>
      </c>
    </row>
    <row r="816" customFormat="false" ht="15" hidden="false" customHeight="false" outlineLevel="0" collapsed="false">
      <c r="B816" s="41" t="s">
        <v>8</v>
      </c>
      <c r="C816" s="42" t="n">
        <v>46234</v>
      </c>
      <c r="D816" s="43" t="n">
        <v>0.708333333333333</v>
      </c>
      <c r="E816" s="41"/>
      <c r="F816" s="41" t="s">
        <v>88</v>
      </c>
      <c r="G816" s="41" t="n">
        <v>5</v>
      </c>
      <c r="H816" s="41" t="s">
        <v>24</v>
      </c>
      <c r="I816" s="44"/>
      <c r="J816" s="44" t="s">
        <v>107</v>
      </c>
    </row>
    <row r="817" customFormat="false" ht="15" hidden="false" customHeight="false" outlineLevel="0" collapsed="false">
      <c r="B817" s="41" t="s">
        <v>8</v>
      </c>
      <c r="C817" s="42" t="n">
        <v>46234</v>
      </c>
      <c r="D817" s="43" t="n">
        <v>0.833333333333333</v>
      </c>
      <c r="E817" s="41"/>
      <c r="F817" s="41" t="s">
        <v>88</v>
      </c>
      <c r="G817" s="41" t="n">
        <v>6</v>
      </c>
      <c r="H817" s="41" t="s">
        <v>98</v>
      </c>
      <c r="I817" s="44"/>
      <c r="J817" s="44" t="s">
        <v>107</v>
      </c>
    </row>
    <row r="818" customFormat="false" ht="15" hidden="false" customHeight="false" outlineLevel="0" collapsed="false">
      <c r="B818" s="41" t="s">
        <v>12</v>
      </c>
      <c r="C818" s="42" t="n">
        <v>46234</v>
      </c>
      <c r="D818" s="43" t="n">
        <v>0.34375</v>
      </c>
      <c r="E818" s="41"/>
      <c r="F818" s="41" t="s">
        <v>88</v>
      </c>
      <c r="G818" s="41" t="n">
        <v>1</v>
      </c>
      <c r="H818" s="41" t="s">
        <v>12</v>
      </c>
      <c r="I818" s="44" t="s">
        <v>114</v>
      </c>
      <c r="J818" s="44" t="s">
        <v>115</v>
      </c>
    </row>
    <row r="819" customFormat="false" ht="15" hidden="false" customHeight="false" outlineLevel="0" collapsed="false">
      <c r="B819" s="41" t="s">
        <v>12</v>
      </c>
      <c r="C819" s="42" t="n">
        <v>46234</v>
      </c>
      <c r="D819" s="43" t="n">
        <v>0.416666666666667</v>
      </c>
      <c r="E819" s="41"/>
      <c r="F819" s="41" t="s">
        <v>88</v>
      </c>
      <c r="G819" s="41" t="n">
        <v>2</v>
      </c>
      <c r="H819" s="41" t="s">
        <v>12</v>
      </c>
      <c r="I819" s="44"/>
      <c r="J819" s="44" t="s">
        <v>115</v>
      </c>
    </row>
    <row r="820" customFormat="false" ht="15" hidden="false" customHeight="false" outlineLevel="0" collapsed="false">
      <c r="B820" s="41" t="s">
        <v>12</v>
      </c>
      <c r="C820" s="42" t="n">
        <v>46234</v>
      </c>
      <c r="D820" s="43" t="n">
        <v>0.541666666666667</v>
      </c>
      <c r="E820" s="41"/>
      <c r="F820" s="41" t="s">
        <v>88</v>
      </c>
      <c r="G820" s="41" t="n">
        <v>3</v>
      </c>
      <c r="H820" s="41" t="s">
        <v>113</v>
      </c>
      <c r="I820" s="44"/>
      <c r="J820" s="44" t="s">
        <v>115</v>
      </c>
    </row>
    <row r="821" customFormat="false" ht="15" hidden="false" customHeight="false" outlineLevel="0" collapsed="false">
      <c r="B821" s="41" t="s">
        <v>12</v>
      </c>
      <c r="C821" s="42" t="n">
        <v>46234</v>
      </c>
      <c r="D821" s="43" t="n">
        <v>0.583333333333333</v>
      </c>
      <c r="E821" s="41"/>
      <c r="F821" s="41" t="s">
        <v>88</v>
      </c>
      <c r="G821" s="41" t="n">
        <v>4</v>
      </c>
      <c r="H821" s="41" t="s">
        <v>12</v>
      </c>
      <c r="I821" s="44"/>
      <c r="J821" s="44" t="s">
        <v>115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</cols>
  <sheetData>
    <row r="1" customFormat="false" ht="21.75" hidden="false" customHeight="true" outlineLevel="0" collapsed="false">
      <c r="A1" s="45" t="s">
        <v>138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46" t="s">
        <v>81</v>
      </c>
      <c r="B2" s="46" t="s">
        <v>139</v>
      </c>
    </row>
    <row r="3" customFormat="false" ht="15" hidden="false" customHeight="false" outlineLevel="0" collapsed="false">
      <c r="A3" s="47" t="n">
        <v>46204</v>
      </c>
      <c r="B3" s="48" t="s">
        <v>140</v>
      </c>
    </row>
    <row r="4" customFormat="false" ht="15" hidden="false" customHeight="false" outlineLevel="0" collapsed="false">
      <c r="A4" s="47" t="n">
        <v>46205</v>
      </c>
      <c r="B4" s="48" t="s">
        <v>88</v>
      </c>
    </row>
    <row r="5" customFormat="false" ht="15" hidden="false" customHeight="false" outlineLevel="0" collapsed="false">
      <c r="A5" s="47" t="n">
        <v>46206</v>
      </c>
      <c r="B5" s="48" t="s">
        <v>140</v>
      </c>
    </row>
    <row r="6" customFormat="false" ht="15" hidden="false" customHeight="false" outlineLevel="0" collapsed="false">
      <c r="A6" s="47" t="n">
        <v>46207</v>
      </c>
      <c r="B6" s="48"/>
    </row>
    <row r="7" customFormat="false" ht="15" hidden="false" customHeight="false" outlineLevel="0" collapsed="false">
      <c r="A7" s="47" t="n">
        <v>46208</v>
      </c>
      <c r="B7" s="48"/>
    </row>
    <row r="8" customFormat="false" ht="15" hidden="false" customHeight="false" outlineLevel="0" collapsed="false">
      <c r="A8" s="47" t="n">
        <v>46209</v>
      </c>
      <c r="B8" s="48" t="s">
        <v>141</v>
      </c>
    </row>
    <row r="9" customFormat="false" ht="15" hidden="false" customHeight="false" outlineLevel="0" collapsed="false">
      <c r="A9" s="47" t="n">
        <v>46210</v>
      </c>
      <c r="B9" s="48" t="s">
        <v>88</v>
      </c>
    </row>
    <row r="10" customFormat="false" ht="15" hidden="false" customHeight="false" outlineLevel="0" collapsed="false">
      <c r="A10" s="47" t="n">
        <v>46211</v>
      </c>
      <c r="B10" s="48" t="s">
        <v>141</v>
      </c>
    </row>
    <row r="11" customFormat="false" ht="15" hidden="false" customHeight="false" outlineLevel="0" collapsed="false">
      <c r="A11" s="47" t="n">
        <v>46212</v>
      </c>
      <c r="B11" s="48" t="s">
        <v>88</v>
      </c>
    </row>
    <row r="12" customFormat="false" ht="15" hidden="false" customHeight="false" outlineLevel="0" collapsed="false">
      <c r="A12" s="47" t="n">
        <v>46213</v>
      </c>
      <c r="B12" s="48" t="s">
        <v>141</v>
      </c>
    </row>
    <row r="13" customFormat="false" ht="15" hidden="false" customHeight="false" outlineLevel="0" collapsed="false">
      <c r="A13" s="47" t="n">
        <v>46214</v>
      </c>
      <c r="B13" s="48"/>
    </row>
    <row r="14" customFormat="false" ht="15" hidden="false" customHeight="false" outlineLevel="0" collapsed="false">
      <c r="A14" s="47" t="n">
        <v>46215</v>
      </c>
      <c r="B14" s="48"/>
    </row>
    <row r="15" customFormat="false" ht="15" hidden="false" customHeight="false" outlineLevel="0" collapsed="false">
      <c r="A15" s="47" t="n">
        <v>46216</v>
      </c>
      <c r="B15" s="48" t="s">
        <v>140</v>
      </c>
    </row>
    <row r="16" customFormat="false" ht="15" hidden="false" customHeight="false" outlineLevel="0" collapsed="false">
      <c r="A16" s="47" t="n">
        <v>46217</v>
      </c>
      <c r="B16" s="48" t="s">
        <v>88</v>
      </c>
    </row>
    <row r="17" customFormat="false" ht="15" hidden="false" customHeight="false" outlineLevel="0" collapsed="false">
      <c r="A17" s="47" t="n">
        <v>46218</v>
      </c>
      <c r="B17" s="48" t="s">
        <v>140</v>
      </c>
    </row>
    <row r="18" customFormat="false" ht="15" hidden="false" customHeight="false" outlineLevel="0" collapsed="false">
      <c r="A18" s="47" t="n">
        <v>46219</v>
      </c>
      <c r="B18" s="48" t="s">
        <v>88</v>
      </c>
    </row>
    <row r="19" customFormat="false" ht="15" hidden="false" customHeight="false" outlineLevel="0" collapsed="false">
      <c r="A19" s="47" t="n">
        <v>46220</v>
      </c>
      <c r="B19" s="48" t="s">
        <v>140</v>
      </c>
    </row>
    <row r="20" customFormat="false" ht="15" hidden="false" customHeight="false" outlineLevel="0" collapsed="false">
      <c r="A20" s="47" t="n">
        <v>46221</v>
      </c>
      <c r="B20" s="48"/>
    </row>
    <row r="21" customFormat="false" ht="15" hidden="false" customHeight="false" outlineLevel="0" collapsed="false">
      <c r="A21" s="47" t="n">
        <v>46222</v>
      </c>
      <c r="B21" s="48"/>
    </row>
    <row r="22" customFormat="false" ht="15" hidden="false" customHeight="false" outlineLevel="0" collapsed="false">
      <c r="A22" s="47" t="n">
        <v>46223</v>
      </c>
      <c r="B22" s="48" t="s">
        <v>141</v>
      </c>
    </row>
    <row r="23" customFormat="false" ht="15" hidden="false" customHeight="false" outlineLevel="0" collapsed="false">
      <c r="A23" s="47" t="n">
        <v>46224</v>
      </c>
      <c r="B23" s="48" t="s">
        <v>88</v>
      </c>
    </row>
    <row r="24" customFormat="false" ht="15" hidden="false" customHeight="false" outlineLevel="0" collapsed="false">
      <c r="A24" s="47" t="n">
        <v>46225</v>
      </c>
      <c r="B24" s="48" t="s">
        <v>141</v>
      </c>
    </row>
    <row r="25" customFormat="false" ht="15" hidden="false" customHeight="false" outlineLevel="0" collapsed="false">
      <c r="A25" s="47" t="n">
        <v>46226</v>
      </c>
      <c r="B25" s="48" t="s">
        <v>88</v>
      </c>
    </row>
    <row r="26" customFormat="false" ht="15" hidden="false" customHeight="false" outlineLevel="0" collapsed="false">
      <c r="A26" s="47" t="n">
        <v>46227</v>
      </c>
      <c r="B26" s="48" t="s">
        <v>141</v>
      </c>
    </row>
    <row r="27" customFormat="false" ht="15" hidden="false" customHeight="false" outlineLevel="0" collapsed="false">
      <c r="A27" s="47" t="n">
        <v>46228</v>
      </c>
      <c r="B27" s="48"/>
    </row>
    <row r="28" customFormat="false" ht="15" hidden="false" customHeight="false" outlineLevel="0" collapsed="false">
      <c r="A28" s="47" t="n">
        <v>46229</v>
      </c>
      <c r="B28" s="48"/>
    </row>
    <row r="29" customFormat="false" ht="15" hidden="false" customHeight="false" outlineLevel="0" collapsed="false">
      <c r="A29" s="47" t="n">
        <v>46230</v>
      </c>
      <c r="B29" s="48" t="s">
        <v>140</v>
      </c>
    </row>
    <row r="30" customFormat="false" ht="15" hidden="false" customHeight="false" outlineLevel="0" collapsed="false">
      <c r="A30" s="47" t="n">
        <v>46231</v>
      </c>
      <c r="B30" s="48" t="s">
        <v>88</v>
      </c>
    </row>
    <row r="31" customFormat="false" ht="15" hidden="false" customHeight="false" outlineLevel="0" collapsed="false">
      <c r="A31" s="47" t="n">
        <v>46232</v>
      </c>
      <c r="B31" s="48" t="s">
        <v>140</v>
      </c>
    </row>
    <row r="32" customFormat="false" ht="15" hidden="false" customHeight="false" outlineLevel="0" collapsed="false">
      <c r="A32" s="47" t="n">
        <v>46233</v>
      </c>
      <c r="B32" s="48" t="s">
        <v>88</v>
      </c>
    </row>
    <row r="33" customFormat="false" ht="15" hidden="false" customHeight="false" outlineLevel="0" collapsed="false">
      <c r="A33" s="47" t="n">
        <v>46234</v>
      </c>
      <c r="B33" s="48" t="s">
        <v>140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1"/>
  </cols>
  <sheetData>
    <row r="1" customFormat="false" ht="21.75" hidden="false" customHeight="true" outlineLevel="0" collapsed="false">
      <c r="A1" s="45" t="s">
        <v>142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46" t="s">
        <v>143</v>
      </c>
      <c r="B2" s="46" t="s">
        <v>144</v>
      </c>
      <c r="C2" s="46" t="s">
        <v>145</v>
      </c>
      <c r="D2" s="46" t="s">
        <v>146</v>
      </c>
    </row>
    <row r="3" customFormat="false" ht="15" hidden="false" customHeight="false" outlineLevel="0" collapsed="false">
      <c r="A3" s="48" t="s">
        <v>147</v>
      </c>
      <c r="B3" s="48" t="s">
        <v>148</v>
      </c>
      <c r="C3" s="48" t="n">
        <v>297</v>
      </c>
      <c r="D3" s="48" t="n">
        <v>304</v>
      </c>
    </row>
    <row r="4" customFormat="false" ht="15" hidden="false" customHeight="false" outlineLevel="0" collapsed="false">
      <c r="A4" s="48" t="s">
        <v>8</v>
      </c>
      <c r="B4" s="48" t="s">
        <v>149</v>
      </c>
      <c r="C4" s="48" t="n">
        <v>299</v>
      </c>
      <c r="D4" s="48" t="n">
        <v>307</v>
      </c>
    </row>
    <row r="5" customFormat="false" ht="15" hidden="false" customHeight="false" outlineLevel="0" collapsed="false">
      <c r="A5" s="48" t="s">
        <v>9</v>
      </c>
      <c r="B5" s="48" t="s">
        <v>150</v>
      </c>
      <c r="C5" s="48" t="n">
        <v>298</v>
      </c>
      <c r="D5" s="48" t="n">
        <v>305</v>
      </c>
    </row>
    <row r="6" customFormat="false" ht="15" hidden="false" customHeight="false" outlineLevel="0" collapsed="false">
      <c r="A6" s="48" t="s">
        <v>10</v>
      </c>
      <c r="B6" s="48" t="s">
        <v>151</v>
      </c>
      <c r="C6" s="48" t="n">
        <v>300</v>
      </c>
      <c r="D6" s="48" t="n">
        <v>308</v>
      </c>
    </row>
    <row r="7" customFormat="false" ht="15" hidden="false" customHeight="false" outlineLevel="0" collapsed="false">
      <c r="A7" s="48" t="s">
        <v>152</v>
      </c>
      <c r="B7" s="48" t="s">
        <v>153</v>
      </c>
      <c r="C7" s="48" t="n">
        <v>301</v>
      </c>
      <c r="D7" s="48" t="n">
        <v>309</v>
      </c>
    </row>
    <row r="8" customFormat="false" ht="15" hidden="false" customHeight="false" outlineLevel="0" collapsed="false">
      <c r="A8" s="48" t="s">
        <v>154</v>
      </c>
      <c r="B8" s="48" t="s">
        <v>155</v>
      </c>
      <c r="C8" s="48" t="n">
        <v>296</v>
      </c>
      <c r="D8" s="48" t="n">
        <v>306</v>
      </c>
    </row>
    <row r="9" customFormat="false" ht="15" hidden="false" customHeight="false" outlineLevel="0" collapsed="false">
      <c r="A9" s="48" t="s">
        <v>156</v>
      </c>
      <c r="B9" s="48" t="s">
        <v>157</v>
      </c>
      <c r="C9" s="48" t="n">
        <v>302</v>
      </c>
      <c r="D9" s="48" t="n">
        <v>311</v>
      </c>
    </row>
    <row r="10" customFormat="false" ht="15" hidden="false" customHeight="false" outlineLevel="0" collapsed="false">
      <c r="A10" s="48" t="s">
        <v>158</v>
      </c>
      <c r="B10" s="48" t="s">
        <v>159</v>
      </c>
      <c r="C10" s="48" t="n">
        <v>315</v>
      </c>
      <c r="D10" s="48" t="n">
        <v>314</v>
      </c>
    </row>
    <row r="11" customFormat="false" ht="15" hidden="false" customHeight="false" outlineLevel="0" collapsed="false">
      <c r="A11" s="48" t="s">
        <v>160</v>
      </c>
      <c r="B11" s="48" t="s">
        <v>161</v>
      </c>
      <c r="C11" s="48" t="n">
        <v>312</v>
      </c>
      <c r="D11" s="48" t="n">
        <v>313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9"/>
  </cols>
  <sheetData>
    <row r="1" customFormat="false" ht="21.75" hidden="false" customHeight="true" outlineLevel="0" collapsed="false">
      <c r="A1" s="45" t="s">
        <v>162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46" t="s">
        <v>81</v>
      </c>
      <c r="B2" s="46" t="s">
        <v>34</v>
      </c>
      <c r="C2" s="46" t="s">
        <v>35</v>
      </c>
      <c r="D2" s="46" t="s">
        <v>163</v>
      </c>
    </row>
    <row r="3" customFormat="false" ht="15" hidden="false" customHeight="false" outlineLevel="0" collapsed="false">
      <c r="A3" s="47" t="n">
        <v>46204</v>
      </c>
      <c r="B3" s="48" t="s">
        <v>164</v>
      </c>
      <c r="C3" s="48" t="s">
        <v>165</v>
      </c>
      <c r="D3" s="48" t="s">
        <v>166</v>
      </c>
    </row>
    <row r="4" customFormat="false" ht="15" hidden="false" customHeight="false" outlineLevel="0" collapsed="false">
      <c r="A4" s="47" t="n">
        <v>46205</v>
      </c>
      <c r="B4" s="48" t="s">
        <v>164</v>
      </c>
      <c r="C4" s="48" t="s">
        <v>165</v>
      </c>
      <c r="D4" s="48" t="s">
        <v>166</v>
      </c>
    </row>
    <row r="5" customFormat="false" ht="15" hidden="false" customHeight="false" outlineLevel="0" collapsed="false">
      <c r="A5" s="47" t="n">
        <v>46206</v>
      </c>
      <c r="B5" s="48" t="s">
        <v>164</v>
      </c>
      <c r="C5" s="48" t="s">
        <v>167</v>
      </c>
      <c r="D5" s="48" t="s">
        <v>166</v>
      </c>
    </row>
    <row r="6" customFormat="false" ht="15" hidden="false" customHeight="false" outlineLevel="0" collapsed="false">
      <c r="A6" s="47" t="n">
        <v>46207</v>
      </c>
      <c r="B6" s="48" t="s">
        <v>168</v>
      </c>
      <c r="C6" s="48" t="s">
        <v>167</v>
      </c>
      <c r="D6" s="48" t="s">
        <v>166</v>
      </c>
    </row>
    <row r="7" customFormat="false" ht="15" hidden="false" customHeight="false" outlineLevel="0" collapsed="false">
      <c r="A7" s="47" t="n">
        <v>46208</v>
      </c>
      <c r="B7" s="48"/>
      <c r="C7" s="48"/>
      <c r="D7" s="48" t="n">
        <v>0</v>
      </c>
    </row>
    <row r="8" customFormat="false" ht="15" hidden="false" customHeight="false" outlineLevel="0" collapsed="false">
      <c r="A8" s="47" t="n">
        <v>46209</v>
      </c>
      <c r="B8" s="48" t="s">
        <v>164</v>
      </c>
      <c r="C8" s="48" t="s">
        <v>165</v>
      </c>
      <c r="D8" s="48" t="s">
        <v>169</v>
      </c>
    </row>
    <row r="9" customFormat="false" ht="15" hidden="false" customHeight="false" outlineLevel="0" collapsed="false">
      <c r="A9" s="47" t="n">
        <v>46210</v>
      </c>
      <c r="B9" s="48" t="s">
        <v>164</v>
      </c>
      <c r="C9" s="48" t="s">
        <v>165</v>
      </c>
      <c r="D9" s="48" t="s">
        <v>169</v>
      </c>
    </row>
    <row r="10" customFormat="false" ht="15" hidden="false" customHeight="false" outlineLevel="0" collapsed="false">
      <c r="A10" s="47" t="n">
        <v>46211</v>
      </c>
      <c r="B10" s="48" t="s">
        <v>164</v>
      </c>
      <c r="C10" s="48" t="s">
        <v>165</v>
      </c>
      <c r="D10" s="48" t="s">
        <v>169</v>
      </c>
    </row>
    <row r="11" customFormat="false" ht="15" hidden="false" customHeight="false" outlineLevel="0" collapsed="false">
      <c r="A11" s="47" t="n">
        <v>46212</v>
      </c>
      <c r="B11" s="48" t="s">
        <v>164</v>
      </c>
      <c r="C11" s="48" t="s">
        <v>165</v>
      </c>
      <c r="D11" s="48" t="s">
        <v>169</v>
      </c>
    </row>
    <row r="12" customFormat="false" ht="15" hidden="false" customHeight="false" outlineLevel="0" collapsed="false">
      <c r="A12" s="47" t="n">
        <v>46213</v>
      </c>
      <c r="B12" s="48" t="s">
        <v>164</v>
      </c>
      <c r="C12" s="48" t="s">
        <v>167</v>
      </c>
      <c r="D12" s="48" t="s">
        <v>169</v>
      </c>
    </row>
    <row r="13" customFormat="false" ht="15" hidden="false" customHeight="false" outlineLevel="0" collapsed="false">
      <c r="A13" s="47" t="n">
        <v>46214</v>
      </c>
      <c r="B13" s="48" t="s">
        <v>168</v>
      </c>
      <c r="C13" s="48" t="s">
        <v>167</v>
      </c>
      <c r="D13" s="48" t="s">
        <v>169</v>
      </c>
    </row>
    <row r="14" customFormat="false" ht="15" hidden="false" customHeight="false" outlineLevel="0" collapsed="false">
      <c r="A14" s="47" t="n">
        <v>46215</v>
      </c>
      <c r="B14" s="48"/>
      <c r="C14" s="48"/>
      <c r="D14" s="48" t="n">
        <v>0</v>
      </c>
    </row>
    <row r="15" customFormat="false" ht="15" hidden="false" customHeight="false" outlineLevel="0" collapsed="false">
      <c r="A15" s="47" t="n">
        <v>46216</v>
      </c>
      <c r="B15" s="48" t="s">
        <v>164</v>
      </c>
      <c r="C15" s="48" t="s">
        <v>165</v>
      </c>
      <c r="D15" s="48" t="s">
        <v>166</v>
      </c>
    </row>
    <row r="16" customFormat="false" ht="15" hidden="false" customHeight="false" outlineLevel="0" collapsed="false">
      <c r="A16" s="47" t="n">
        <v>46217</v>
      </c>
      <c r="B16" s="48" t="s">
        <v>164</v>
      </c>
      <c r="C16" s="48" t="s">
        <v>165</v>
      </c>
      <c r="D16" s="48" t="s">
        <v>166</v>
      </c>
    </row>
    <row r="17" customFormat="false" ht="15" hidden="false" customHeight="false" outlineLevel="0" collapsed="false">
      <c r="A17" s="47" t="n">
        <v>46218</v>
      </c>
      <c r="B17" s="48" t="s">
        <v>164</v>
      </c>
      <c r="C17" s="48" t="s">
        <v>165</v>
      </c>
      <c r="D17" s="48" t="s">
        <v>166</v>
      </c>
    </row>
    <row r="18" customFormat="false" ht="15" hidden="false" customHeight="false" outlineLevel="0" collapsed="false">
      <c r="A18" s="47" t="n">
        <v>46219</v>
      </c>
      <c r="B18" s="48" t="s">
        <v>164</v>
      </c>
      <c r="C18" s="48" t="s">
        <v>165</v>
      </c>
      <c r="D18" s="48" t="s">
        <v>166</v>
      </c>
    </row>
    <row r="19" customFormat="false" ht="15" hidden="false" customHeight="false" outlineLevel="0" collapsed="false">
      <c r="A19" s="47" t="n">
        <v>46220</v>
      </c>
      <c r="B19" s="48" t="s">
        <v>164</v>
      </c>
      <c r="C19" s="48" t="s">
        <v>167</v>
      </c>
      <c r="D19" s="48" t="s">
        <v>166</v>
      </c>
    </row>
    <row r="20" customFormat="false" ht="15" hidden="false" customHeight="false" outlineLevel="0" collapsed="false">
      <c r="A20" s="47" t="n">
        <v>46221</v>
      </c>
      <c r="B20" s="48" t="s">
        <v>168</v>
      </c>
      <c r="C20" s="48" t="s">
        <v>167</v>
      </c>
      <c r="D20" s="48" t="s">
        <v>166</v>
      </c>
    </row>
    <row r="21" customFormat="false" ht="15" hidden="false" customHeight="false" outlineLevel="0" collapsed="false">
      <c r="A21" s="47" t="n">
        <v>46222</v>
      </c>
      <c r="B21" s="48"/>
      <c r="C21" s="48"/>
      <c r="D21" s="48" t="n">
        <v>0</v>
      </c>
    </row>
    <row r="22" customFormat="false" ht="15" hidden="false" customHeight="false" outlineLevel="0" collapsed="false">
      <c r="A22" s="47" t="n">
        <v>46223</v>
      </c>
      <c r="B22" s="48" t="s">
        <v>164</v>
      </c>
      <c r="C22" s="48" t="s">
        <v>165</v>
      </c>
      <c r="D22" s="48" t="s">
        <v>169</v>
      </c>
    </row>
    <row r="23" customFormat="false" ht="15" hidden="false" customHeight="false" outlineLevel="0" collapsed="false">
      <c r="A23" s="47" t="n">
        <v>46224</v>
      </c>
      <c r="B23" s="48" t="s">
        <v>164</v>
      </c>
      <c r="C23" s="48" t="s">
        <v>165</v>
      </c>
      <c r="D23" s="48" t="s">
        <v>169</v>
      </c>
    </row>
    <row r="24" customFormat="false" ht="15" hidden="false" customHeight="false" outlineLevel="0" collapsed="false">
      <c r="A24" s="47" t="n">
        <v>46225</v>
      </c>
      <c r="B24" s="48" t="s">
        <v>170</v>
      </c>
      <c r="C24" s="48" t="s">
        <v>165</v>
      </c>
      <c r="D24" s="48" t="s">
        <v>169</v>
      </c>
    </row>
    <row r="25" customFormat="false" ht="15" hidden="false" customHeight="false" outlineLevel="0" collapsed="false">
      <c r="A25" s="47" t="n">
        <v>46226</v>
      </c>
      <c r="B25" s="48" t="s">
        <v>164</v>
      </c>
      <c r="C25" s="48" t="s">
        <v>165</v>
      </c>
      <c r="D25" s="48" t="s">
        <v>169</v>
      </c>
    </row>
    <row r="26" customFormat="false" ht="15" hidden="false" customHeight="false" outlineLevel="0" collapsed="false">
      <c r="A26" s="47" t="n">
        <v>46227</v>
      </c>
      <c r="B26" s="48" t="s">
        <v>164</v>
      </c>
      <c r="C26" s="48" t="s">
        <v>167</v>
      </c>
      <c r="D26" s="48" t="s">
        <v>169</v>
      </c>
    </row>
    <row r="27" customFormat="false" ht="15" hidden="false" customHeight="false" outlineLevel="0" collapsed="false">
      <c r="A27" s="47" t="n">
        <v>46228</v>
      </c>
      <c r="B27" s="48" t="s">
        <v>168</v>
      </c>
      <c r="C27" s="48" t="s">
        <v>167</v>
      </c>
      <c r="D27" s="48" t="s">
        <v>169</v>
      </c>
    </row>
    <row r="28" customFormat="false" ht="15" hidden="false" customHeight="false" outlineLevel="0" collapsed="false">
      <c r="A28" s="47" t="n">
        <v>46229</v>
      </c>
      <c r="B28" s="48"/>
      <c r="C28" s="48"/>
      <c r="D28" s="48" t="n">
        <v>0</v>
      </c>
    </row>
    <row r="29" customFormat="false" ht="15" hidden="false" customHeight="false" outlineLevel="0" collapsed="false">
      <c r="A29" s="47" t="n">
        <v>46230</v>
      </c>
      <c r="B29" s="48" t="s">
        <v>164</v>
      </c>
      <c r="C29" s="48" t="s">
        <v>165</v>
      </c>
      <c r="D29" s="48" t="s">
        <v>166</v>
      </c>
    </row>
    <row r="30" customFormat="false" ht="15" hidden="false" customHeight="false" outlineLevel="0" collapsed="false">
      <c r="A30" s="47" t="n">
        <v>46231</v>
      </c>
      <c r="B30" s="48" t="s">
        <v>164</v>
      </c>
      <c r="C30" s="48" t="s">
        <v>165</v>
      </c>
      <c r="D30" s="48" t="s">
        <v>166</v>
      </c>
    </row>
    <row r="31" customFormat="false" ht="15" hidden="false" customHeight="false" outlineLevel="0" collapsed="false">
      <c r="A31" s="47" t="n">
        <v>46232</v>
      </c>
      <c r="B31" s="48" t="s">
        <v>164</v>
      </c>
      <c r="C31" s="48" t="s">
        <v>165</v>
      </c>
      <c r="D31" s="48" t="s">
        <v>166</v>
      </c>
    </row>
    <row r="32" customFormat="false" ht="15" hidden="false" customHeight="false" outlineLevel="0" collapsed="false">
      <c r="A32" s="47" t="n">
        <v>46233</v>
      </c>
      <c r="B32" s="48" t="s">
        <v>164</v>
      </c>
      <c r="C32" s="48" t="s">
        <v>165</v>
      </c>
      <c r="D32" s="48" t="s">
        <v>166</v>
      </c>
    </row>
    <row r="33" customFormat="false" ht="15" hidden="false" customHeight="false" outlineLevel="0" collapsed="false">
      <c r="A33" s="47" t="n">
        <v>46234</v>
      </c>
      <c r="B33" s="48" t="s">
        <v>164</v>
      </c>
      <c r="C33" s="48" t="s">
        <v>167</v>
      </c>
      <c r="D33" s="48" t="s">
        <v>166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A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45" t="s">
        <v>171</v>
      </c>
      <c r="B1" s="45"/>
      <c r="C1" s="45"/>
      <c r="D1" s="45"/>
      <c r="E1" s="45"/>
      <c r="F1" s="45"/>
    </row>
    <row r="3" customFormat="false" ht="15" hidden="false" customHeight="false" outlineLevel="0" collapsed="false">
      <c r="A3" s="49" t="s">
        <v>172</v>
      </c>
    </row>
    <row r="4" customFormat="false" ht="15" hidden="false" customHeight="false" outlineLevel="0" collapsed="false">
      <c r="A4" s="50" t="s">
        <v>173</v>
      </c>
      <c r="B4" s="50" t="s">
        <v>174</v>
      </c>
      <c r="F4" s="50" t="s">
        <v>175</v>
      </c>
    </row>
    <row r="5" customFormat="false" ht="15" hidden="false" customHeight="false" outlineLevel="0" collapsed="false">
      <c r="B5" s="51" t="s">
        <v>176</v>
      </c>
      <c r="C5" s="50" t="s">
        <v>177</v>
      </c>
      <c r="D5" s="50" t="s">
        <v>178</v>
      </c>
      <c r="E5" s="51" t="s">
        <v>179</v>
      </c>
      <c r="F5" s="51" t="s">
        <v>176</v>
      </c>
      <c r="G5" s="50" t="s">
        <v>177</v>
      </c>
      <c r="H5" s="51" t="s">
        <v>180</v>
      </c>
    </row>
    <row r="6" customFormat="false" ht="15" hidden="false" customHeight="false" outlineLevel="0" collapsed="false">
      <c r="B6" s="50" t="s">
        <v>181</v>
      </c>
      <c r="C6" s="50" t="n">
        <v>1</v>
      </c>
      <c r="D6" s="50" t="s">
        <v>102</v>
      </c>
      <c r="E6" s="50" t="s">
        <v>182</v>
      </c>
      <c r="F6" s="50" t="s">
        <v>181</v>
      </c>
      <c r="G6" s="50" t="n">
        <v>1</v>
      </c>
      <c r="H6" s="50" t="s">
        <v>109</v>
      </c>
      <c r="I6" s="50" t="s">
        <v>182</v>
      </c>
    </row>
    <row r="7" customFormat="false" ht="15" hidden="false" customHeight="false" outlineLevel="0" collapsed="false">
      <c r="B7" s="50" t="s">
        <v>183</v>
      </c>
      <c r="C7" s="50" t="n">
        <v>2</v>
      </c>
      <c r="D7" s="50" t="s">
        <v>102</v>
      </c>
      <c r="E7" s="50" t="s">
        <v>184</v>
      </c>
      <c r="F7" s="50" t="s">
        <v>185</v>
      </c>
      <c r="G7" s="50" t="n">
        <v>2</v>
      </c>
      <c r="H7" s="50" t="s">
        <v>92</v>
      </c>
      <c r="I7" s="50" t="s">
        <v>186</v>
      </c>
    </row>
    <row r="8" customFormat="false" ht="15" hidden="false" customHeight="false" outlineLevel="0" collapsed="false">
      <c r="B8" s="50" t="s">
        <v>187</v>
      </c>
      <c r="C8" s="50" t="n">
        <v>3</v>
      </c>
      <c r="D8" s="50" t="s">
        <v>102</v>
      </c>
      <c r="E8" s="50" t="s">
        <v>188</v>
      </c>
      <c r="F8" s="50" t="s">
        <v>189</v>
      </c>
      <c r="G8" s="50" t="n">
        <v>3</v>
      </c>
      <c r="H8" s="50" t="s">
        <v>92</v>
      </c>
      <c r="I8" s="50" t="s">
        <v>186</v>
      </c>
    </row>
    <row r="9" customFormat="false" ht="15" hidden="false" customHeight="false" outlineLevel="0" collapsed="false">
      <c r="F9" s="50" t="s">
        <v>190</v>
      </c>
      <c r="G9" s="50" t="n">
        <v>4</v>
      </c>
      <c r="H9" s="50" t="s">
        <v>92</v>
      </c>
      <c r="I9" s="50" t="s">
        <v>191</v>
      </c>
    </row>
    <row r="10" customFormat="false" ht="15" hidden="false" customHeight="false" outlineLevel="0" collapsed="false">
      <c r="F10" s="50" t="s">
        <v>181</v>
      </c>
      <c r="G10" s="50" t="n">
        <v>5</v>
      </c>
      <c r="H10" s="50" t="s">
        <v>92</v>
      </c>
      <c r="I10" s="50" t="s">
        <v>182</v>
      </c>
    </row>
    <row r="11" customFormat="false" ht="15" hidden="false" customHeight="false" outlineLevel="0" collapsed="false">
      <c r="F11" s="50" t="s">
        <v>192</v>
      </c>
      <c r="G11" s="50" t="n">
        <v>6</v>
      </c>
      <c r="H11" s="50" t="s">
        <v>92</v>
      </c>
      <c r="I11" s="50" t="s">
        <v>193</v>
      </c>
    </row>
    <row r="12" customFormat="false" ht="15" hidden="false" customHeight="false" outlineLevel="0" collapsed="false">
      <c r="F12" s="50" t="s">
        <v>194</v>
      </c>
      <c r="G12" s="50" t="n">
        <v>7</v>
      </c>
      <c r="H12" s="50" t="s">
        <v>92</v>
      </c>
      <c r="I12" s="50" t="s">
        <v>195</v>
      </c>
    </row>
    <row r="13" customFormat="false" ht="15" hidden="false" customHeight="false" outlineLevel="0" collapsed="false">
      <c r="F13" s="50" t="s">
        <v>187</v>
      </c>
      <c r="G13" s="50" t="n">
        <v>8</v>
      </c>
      <c r="H13" s="50" t="s">
        <v>92</v>
      </c>
      <c r="I13" s="50" t="s">
        <v>188</v>
      </c>
    </row>
    <row r="14" customFormat="false" ht="15" hidden="false" customHeight="false" outlineLevel="0" collapsed="false">
      <c r="F14" s="50" t="s">
        <v>183</v>
      </c>
      <c r="G14" s="50" t="n">
        <v>9</v>
      </c>
      <c r="H14" s="50" t="s">
        <v>92</v>
      </c>
      <c r="I14" s="50" t="s">
        <v>184</v>
      </c>
    </row>
    <row r="15" customFormat="false" ht="15" hidden="false" customHeight="false" outlineLevel="0" collapsed="false">
      <c r="F15" s="50" t="s">
        <v>196</v>
      </c>
      <c r="G15" s="50" t="n">
        <v>10</v>
      </c>
      <c r="H15" s="50" t="s">
        <v>92</v>
      </c>
      <c r="I15" s="50" t="s">
        <v>197</v>
      </c>
    </row>
    <row r="16" customFormat="false" ht="15" hidden="false" customHeight="false" outlineLevel="0" collapsed="false">
      <c r="F16" s="50" t="s">
        <v>198</v>
      </c>
      <c r="G16" s="50" t="n">
        <v>11</v>
      </c>
      <c r="H16" s="50" t="s">
        <v>92</v>
      </c>
      <c r="I16" s="50" t="s">
        <v>199</v>
      </c>
    </row>
    <row r="17" customFormat="false" ht="15" hidden="false" customHeight="false" outlineLevel="0" collapsed="false">
      <c r="A17" s="50" t="s">
        <v>200</v>
      </c>
      <c r="B17" s="50" t="s">
        <v>174</v>
      </c>
      <c r="F17" s="50" t="s">
        <v>175</v>
      </c>
    </row>
    <row r="18" customFormat="false" ht="15" hidden="false" customHeight="false" outlineLevel="0" collapsed="false">
      <c r="B18" s="51" t="s">
        <v>176</v>
      </c>
      <c r="C18" s="50" t="s">
        <v>177</v>
      </c>
      <c r="D18" s="50" t="s">
        <v>178</v>
      </c>
      <c r="E18" s="51" t="s">
        <v>179</v>
      </c>
      <c r="F18" s="51" t="s">
        <v>176</v>
      </c>
      <c r="G18" s="50" t="s">
        <v>177</v>
      </c>
      <c r="H18" s="51" t="s">
        <v>180</v>
      </c>
    </row>
    <row r="19" customFormat="false" ht="15" hidden="false" customHeight="false" outlineLevel="0" collapsed="false">
      <c r="B19" s="50" t="s">
        <v>181</v>
      </c>
      <c r="C19" s="50" t="n">
        <v>1</v>
      </c>
      <c r="D19" s="50" t="s">
        <v>102</v>
      </c>
      <c r="E19" s="50" t="s">
        <v>182</v>
      </c>
      <c r="F19" s="50" t="s">
        <v>181</v>
      </c>
      <c r="G19" s="50" t="n">
        <v>1</v>
      </c>
      <c r="H19" s="50" t="s">
        <v>109</v>
      </c>
      <c r="I19" s="50" t="s">
        <v>182</v>
      </c>
    </row>
    <row r="20" customFormat="false" ht="15" hidden="false" customHeight="false" outlineLevel="0" collapsed="false">
      <c r="B20" s="50" t="s">
        <v>183</v>
      </c>
      <c r="C20" s="50" t="n">
        <v>2</v>
      </c>
      <c r="D20" s="50" t="s">
        <v>102</v>
      </c>
      <c r="E20" s="50" t="s">
        <v>184</v>
      </c>
      <c r="F20" s="50" t="s">
        <v>185</v>
      </c>
      <c r="G20" s="50" t="n">
        <v>2</v>
      </c>
      <c r="H20" s="50" t="s">
        <v>92</v>
      </c>
      <c r="I20" s="50" t="s">
        <v>186</v>
      </c>
    </row>
    <row r="21" customFormat="false" ht="15" hidden="false" customHeight="false" outlineLevel="0" collapsed="false">
      <c r="B21" s="50" t="s">
        <v>187</v>
      </c>
      <c r="C21" s="50" t="n">
        <v>3</v>
      </c>
      <c r="D21" s="50" t="s">
        <v>102</v>
      </c>
      <c r="E21" s="50" t="s">
        <v>188</v>
      </c>
      <c r="F21" s="50" t="s">
        <v>189</v>
      </c>
      <c r="G21" s="50" t="n">
        <v>3</v>
      </c>
      <c r="H21" s="50" t="s">
        <v>92</v>
      </c>
      <c r="I21" s="50" t="s">
        <v>186</v>
      </c>
    </row>
    <row r="22" customFormat="false" ht="15" hidden="false" customHeight="false" outlineLevel="0" collapsed="false">
      <c r="F22" s="50" t="s">
        <v>190</v>
      </c>
      <c r="G22" s="50" t="n">
        <v>4</v>
      </c>
      <c r="H22" s="50" t="s">
        <v>92</v>
      </c>
      <c r="I22" s="50" t="s">
        <v>191</v>
      </c>
    </row>
    <row r="23" customFormat="false" ht="15" hidden="false" customHeight="false" outlineLevel="0" collapsed="false">
      <c r="F23" s="50" t="s">
        <v>181</v>
      </c>
      <c r="G23" s="50" t="n">
        <v>5</v>
      </c>
      <c r="H23" s="50" t="s">
        <v>92</v>
      </c>
      <c r="I23" s="50" t="s">
        <v>182</v>
      </c>
    </row>
    <row r="24" customFormat="false" ht="15" hidden="false" customHeight="false" outlineLevel="0" collapsed="false">
      <c r="F24" s="50" t="s">
        <v>192</v>
      </c>
      <c r="G24" s="50" t="n">
        <v>6</v>
      </c>
      <c r="H24" s="50" t="s">
        <v>92</v>
      </c>
      <c r="I24" s="50" t="s">
        <v>193</v>
      </c>
    </row>
    <row r="25" customFormat="false" ht="15" hidden="false" customHeight="false" outlineLevel="0" collapsed="false">
      <c r="F25" s="50" t="s">
        <v>194</v>
      </c>
      <c r="G25" s="50" t="n">
        <v>7</v>
      </c>
      <c r="H25" s="50" t="s">
        <v>92</v>
      </c>
      <c r="I25" s="50" t="s">
        <v>195</v>
      </c>
    </row>
    <row r="26" customFormat="false" ht="15" hidden="false" customHeight="false" outlineLevel="0" collapsed="false">
      <c r="F26" s="50" t="s">
        <v>187</v>
      </c>
      <c r="G26" s="50" t="n">
        <v>8</v>
      </c>
      <c r="H26" s="50" t="s">
        <v>92</v>
      </c>
      <c r="I26" s="50" t="s">
        <v>188</v>
      </c>
    </row>
    <row r="27" customFormat="false" ht="15" hidden="false" customHeight="false" outlineLevel="0" collapsed="false">
      <c r="F27" s="50" t="s">
        <v>183</v>
      </c>
      <c r="G27" s="50" t="n">
        <v>9</v>
      </c>
      <c r="H27" s="50" t="s">
        <v>92</v>
      </c>
      <c r="I27" s="50" t="s">
        <v>184</v>
      </c>
    </row>
    <row r="28" customFormat="false" ht="15" hidden="false" customHeight="false" outlineLevel="0" collapsed="false">
      <c r="F28" s="50" t="s">
        <v>196</v>
      </c>
      <c r="G28" s="50" t="n">
        <v>10</v>
      </c>
      <c r="H28" s="50" t="s">
        <v>92</v>
      </c>
      <c r="I28" s="50" t="s">
        <v>197</v>
      </c>
    </row>
    <row r="29" customFormat="false" ht="15" hidden="false" customHeight="false" outlineLevel="0" collapsed="false">
      <c r="F29" s="50" t="s">
        <v>198</v>
      </c>
      <c r="G29" s="50" t="n">
        <v>11</v>
      </c>
      <c r="H29" s="50" t="s">
        <v>92</v>
      </c>
      <c r="I29" s="50" t="s">
        <v>199</v>
      </c>
    </row>
    <row r="30" customFormat="false" ht="15" hidden="false" customHeight="false" outlineLevel="0" collapsed="false">
      <c r="A30" s="50" t="s">
        <v>201</v>
      </c>
      <c r="B30" s="50" t="s">
        <v>174</v>
      </c>
      <c r="F30" s="50" t="s">
        <v>175</v>
      </c>
    </row>
    <row r="31" customFormat="false" ht="15" hidden="false" customHeight="false" outlineLevel="0" collapsed="false">
      <c r="B31" s="51" t="s">
        <v>176</v>
      </c>
      <c r="C31" s="50" t="s">
        <v>177</v>
      </c>
      <c r="D31" s="50" t="s">
        <v>178</v>
      </c>
      <c r="E31" s="51" t="s">
        <v>179</v>
      </c>
      <c r="F31" s="51" t="s">
        <v>176</v>
      </c>
      <c r="G31" s="50" t="s">
        <v>177</v>
      </c>
      <c r="H31" s="51" t="s">
        <v>180</v>
      </c>
    </row>
    <row r="32" customFormat="false" ht="15" hidden="false" customHeight="false" outlineLevel="0" collapsed="false">
      <c r="B32" s="50" t="s">
        <v>181</v>
      </c>
      <c r="C32" s="50" t="n">
        <v>1</v>
      </c>
      <c r="D32" s="50" t="s">
        <v>102</v>
      </c>
      <c r="E32" s="50" t="s">
        <v>182</v>
      </c>
      <c r="F32" s="50" t="s">
        <v>181</v>
      </c>
      <c r="G32" s="50" t="n">
        <v>1</v>
      </c>
      <c r="H32" s="50" t="s">
        <v>109</v>
      </c>
      <c r="I32" s="50" t="s">
        <v>182</v>
      </c>
    </row>
    <row r="33" customFormat="false" ht="15" hidden="false" customHeight="false" outlineLevel="0" collapsed="false">
      <c r="B33" s="50" t="s">
        <v>183</v>
      </c>
      <c r="C33" s="50" t="n">
        <v>2</v>
      </c>
      <c r="D33" s="50" t="s">
        <v>102</v>
      </c>
      <c r="E33" s="50" t="s">
        <v>184</v>
      </c>
      <c r="F33" s="50" t="s">
        <v>185</v>
      </c>
      <c r="G33" s="50" t="n">
        <v>2</v>
      </c>
      <c r="H33" s="50" t="s">
        <v>92</v>
      </c>
      <c r="I33" s="50" t="s">
        <v>186</v>
      </c>
    </row>
    <row r="34" customFormat="false" ht="15" hidden="false" customHeight="false" outlineLevel="0" collapsed="false">
      <c r="B34" s="50" t="s">
        <v>187</v>
      </c>
      <c r="C34" s="50" t="n">
        <v>3</v>
      </c>
      <c r="D34" s="50" t="s">
        <v>102</v>
      </c>
      <c r="E34" s="50" t="s">
        <v>188</v>
      </c>
      <c r="F34" s="50" t="s">
        <v>189</v>
      </c>
      <c r="G34" s="50" t="n">
        <v>3</v>
      </c>
      <c r="H34" s="50" t="s">
        <v>92</v>
      </c>
      <c r="I34" s="50" t="s">
        <v>186</v>
      </c>
    </row>
    <row r="35" customFormat="false" ht="15" hidden="false" customHeight="false" outlineLevel="0" collapsed="false">
      <c r="F35" s="50" t="s">
        <v>190</v>
      </c>
      <c r="G35" s="50" t="n">
        <v>4</v>
      </c>
      <c r="H35" s="50" t="s">
        <v>92</v>
      </c>
      <c r="I35" s="50" t="s">
        <v>191</v>
      </c>
    </row>
    <row r="36" customFormat="false" ht="15" hidden="false" customHeight="false" outlineLevel="0" collapsed="false">
      <c r="F36" s="50" t="s">
        <v>181</v>
      </c>
      <c r="G36" s="50" t="n">
        <v>5</v>
      </c>
      <c r="H36" s="50" t="s">
        <v>92</v>
      </c>
      <c r="I36" s="50" t="s">
        <v>182</v>
      </c>
    </row>
    <row r="37" customFormat="false" ht="15" hidden="false" customHeight="false" outlineLevel="0" collapsed="false">
      <c r="F37" s="50" t="s">
        <v>192</v>
      </c>
      <c r="G37" s="50" t="n">
        <v>6</v>
      </c>
      <c r="H37" s="50" t="s">
        <v>92</v>
      </c>
      <c r="I37" s="50" t="s">
        <v>193</v>
      </c>
    </row>
    <row r="38" customFormat="false" ht="15" hidden="false" customHeight="false" outlineLevel="0" collapsed="false">
      <c r="F38" s="50" t="s">
        <v>194</v>
      </c>
      <c r="G38" s="50" t="n">
        <v>7</v>
      </c>
      <c r="H38" s="50" t="s">
        <v>92</v>
      </c>
      <c r="I38" s="50" t="s">
        <v>195</v>
      </c>
    </row>
    <row r="39" customFormat="false" ht="15" hidden="false" customHeight="false" outlineLevel="0" collapsed="false">
      <c r="F39" s="50" t="s">
        <v>187</v>
      </c>
      <c r="G39" s="50" t="n">
        <v>8</v>
      </c>
      <c r="H39" s="50" t="s">
        <v>92</v>
      </c>
      <c r="I39" s="50" t="s">
        <v>188</v>
      </c>
    </row>
    <row r="40" customFormat="false" ht="15" hidden="false" customHeight="false" outlineLevel="0" collapsed="false">
      <c r="F40" s="50" t="s">
        <v>183</v>
      </c>
      <c r="G40" s="50" t="n">
        <v>9</v>
      </c>
      <c r="H40" s="50" t="s">
        <v>92</v>
      </c>
      <c r="I40" s="50" t="s">
        <v>184</v>
      </c>
    </row>
    <row r="41" customFormat="false" ht="15" hidden="false" customHeight="false" outlineLevel="0" collapsed="false">
      <c r="F41" s="50" t="s">
        <v>196</v>
      </c>
      <c r="G41" s="50" t="n">
        <v>10</v>
      </c>
      <c r="H41" s="50" t="s">
        <v>92</v>
      </c>
      <c r="I41" s="50" t="s">
        <v>197</v>
      </c>
    </row>
    <row r="42" customFormat="false" ht="15" hidden="false" customHeight="false" outlineLevel="0" collapsed="false">
      <c r="F42" s="50" t="s">
        <v>198</v>
      </c>
      <c r="G42" s="50" t="n">
        <v>11</v>
      </c>
      <c r="H42" s="50" t="s">
        <v>92</v>
      </c>
      <c r="I42" s="50" t="s">
        <v>199</v>
      </c>
    </row>
    <row r="43" customFormat="false" ht="15" hidden="false" customHeight="false" outlineLevel="0" collapsed="false">
      <c r="A43" s="50" t="s">
        <v>202</v>
      </c>
      <c r="B43" s="50" t="s">
        <v>174</v>
      </c>
      <c r="F43" s="50" t="s">
        <v>175</v>
      </c>
    </row>
    <row r="44" customFormat="false" ht="15" hidden="false" customHeight="false" outlineLevel="0" collapsed="false">
      <c r="B44" s="51" t="s">
        <v>176</v>
      </c>
      <c r="C44" s="50" t="s">
        <v>177</v>
      </c>
      <c r="D44" s="50" t="s">
        <v>178</v>
      </c>
      <c r="E44" s="51" t="s">
        <v>179</v>
      </c>
      <c r="F44" s="51" t="s">
        <v>176</v>
      </c>
      <c r="G44" s="50" t="s">
        <v>177</v>
      </c>
      <c r="H44" s="51" t="s">
        <v>180</v>
      </c>
    </row>
    <row r="45" customFormat="false" ht="15" hidden="false" customHeight="false" outlineLevel="0" collapsed="false">
      <c r="B45" s="50" t="s">
        <v>181</v>
      </c>
      <c r="C45" s="50" t="n">
        <v>1</v>
      </c>
      <c r="D45" s="50" t="s">
        <v>102</v>
      </c>
      <c r="E45" s="50" t="s">
        <v>182</v>
      </c>
      <c r="F45" s="50" t="s">
        <v>181</v>
      </c>
      <c r="G45" s="50" t="n">
        <v>1</v>
      </c>
      <c r="H45" s="50" t="s">
        <v>109</v>
      </c>
      <c r="I45" s="50" t="s">
        <v>182</v>
      </c>
    </row>
    <row r="46" customFormat="false" ht="15" hidden="false" customHeight="false" outlineLevel="0" collapsed="false">
      <c r="B46" s="50" t="s">
        <v>183</v>
      </c>
      <c r="C46" s="50" t="n">
        <v>2</v>
      </c>
      <c r="D46" s="50" t="s">
        <v>102</v>
      </c>
      <c r="E46" s="50" t="s">
        <v>184</v>
      </c>
      <c r="F46" s="50" t="s">
        <v>185</v>
      </c>
      <c r="G46" s="50" t="n">
        <v>2</v>
      </c>
      <c r="H46" s="50" t="s">
        <v>92</v>
      </c>
      <c r="I46" s="50" t="s">
        <v>186</v>
      </c>
    </row>
    <row r="47" customFormat="false" ht="15" hidden="false" customHeight="false" outlineLevel="0" collapsed="false">
      <c r="B47" s="50" t="s">
        <v>187</v>
      </c>
      <c r="C47" s="50" t="n">
        <v>3</v>
      </c>
      <c r="D47" s="50" t="s">
        <v>102</v>
      </c>
      <c r="E47" s="50" t="s">
        <v>188</v>
      </c>
      <c r="F47" s="50" t="s">
        <v>189</v>
      </c>
      <c r="G47" s="50" t="n">
        <v>3</v>
      </c>
      <c r="H47" s="50" t="s">
        <v>92</v>
      </c>
      <c r="I47" s="50" t="s">
        <v>186</v>
      </c>
    </row>
    <row r="48" customFormat="false" ht="15" hidden="false" customHeight="false" outlineLevel="0" collapsed="false">
      <c r="F48" s="50" t="s">
        <v>190</v>
      </c>
      <c r="G48" s="50" t="n">
        <v>4</v>
      </c>
      <c r="H48" s="50" t="s">
        <v>92</v>
      </c>
      <c r="I48" s="50" t="s">
        <v>191</v>
      </c>
    </row>
    <row r="49" customFormat="false" ht="15" hidden="false" customHeight="false" outlineLevel="0" collapsed="false">
      <c r="F49" s="50" t="s">
        <v>181</v>
      </c>
      <c r="G49" s="50" t="n">
        <v>5</v>
      </c>
      <c r="H49" s="50" t="s">
        <v>92</v>
      </c>
      <c r="I49" s="50" t="s">
        <v>182</v>
      </c>
    </row>
    <row r="50" customFormat="false" ht="15" hidden="false" customHeight="false" outlineLevel="0" collapsed="false">
      <c r="F50" s="50" t="s">
        <v>192</v>
      </c>
      <c r="G50" s="50" t="n">
        <v>6</v>
      </c>
      <c r="H50" s="50" t="s">
        <v>92</v>
      </c>
      <c r="I50" s="50" t="s">
        <v>193</v>
      </c>
    </row>
    <row r="51" customFormat="false" ht="15" hidden="false" customHeight="false" outlineLevel="0" collapsed="false">
      <c r="F51" s="50" t="s">
        <v>194</v>
      </c>
      <c r="G51" s="50" t="n">
        <v>7</v>
      </c>
      <c r="H51" s="50" t="s">
        <v>92</v>
      </c>
      <c r="I51" s="50" t="s">
        <v>195</v>
      </c>
    </row>
    <row r="52" customFormat="false" ht="15" hidden="false" customHeight="false" outlineLevel="0" collapsed="false">
      <c r="F52" s="50" t="s">
        <v>187</v>
      </c>
      <c r="G52" s="50" t="n">
        <v>8</v>
      </c>
      <c r="H52" s="50" t="s">
        <v>92</v>
      </c>
      <c r="I52" s="50" t="s">
        <v>188</v>
      </c>
    </row>
    <row r="53" customFormat="false" ht="15" hidden="false" customHeight="false" outlineLevel="0" collapsed="false">
      <c r="F53" s="50" t="s">
        <v>183</v>
      </c>
      <c r="G53" s="50" t="n">
        <v>9</v>
      </c>
      <c r="H53" s="50" t="s">
        <v>92</v>
      </c>
      <c r="I53" s="50" t="s">
        <v>184</v>
      </c>
    </row>
    <row r="54" customFormat="false" ht="15" hidden="false" customHeight="false" outlineLevel="0" collapsed="false">
      <c r="F54" s="50" t="s">
        <v>196</v>
      </c>
      <c r="G54" s="50" t="n">
        <v>10</v>
      </c>
      <c r="H54" s="50" t="s">
        <v>92</v>
      </c>
      <c r="I54" s="50" t="s">
        <v>197</v>
      </c>
    </row>
    <row r="55" customFormat="false" ht="15" hidden="false" customHeight="false" outlineLevel="0" collapsed="false">
      <c r="F55" s="50" t="s">
        <v>198</v>
      </c>
      <c r="G55" s="50" t="n">
        <v>11</v>
      </c>
      <c r="H55" s="50" t="s">
        <v>92</v>
      </c>
      <c r="I55" s="50" t="s">
        <v>199</v>
      </c>
    </row>
    <row r="56" customFormat="false" ht="15" hidden="false" customHeight="false" outlineLevel="0" collapsed="false">
      <c r="A56" s="50" t="s">
        <v>203</v>
      </c>
      <c r="B56" s="50" t="s">
        <v>174</v>
      </c>
      <c r="F56" s="50" t="s">
        <v>175</v>
      </c>
    </row>
    <row r="57" customFormat="false" ht="15" hidden="false" customHeight="false" outlineLevel="0" collapsed="false">
      <c r="B57" s="51" t="s">
        <v>176</v>
      </c>
      <c r="C57" s="50" t="s">
        <v>177</v>
      </c>
      <c r="D57" s="50" t="s">
        <v>178</v>
      </c>
      <c r="E57" s="51" t="s">
        <v>179</v>
      </c>
      <c r="F57" s="51" t="s">
        <v>176</v>
      </c>
      <c r="G57" s="50" t="s">
        <v>177</v>
      </c>
      <c r="H57" s="51" t="s">
        <v>180</v>
      </c>
    </row>
    <row r="58" customFormat="false" ht="15" hidden="false" customHeight="false" outlineLevel="0" collapsed="false">
      <c r="B58" s="50" t="s">
        <v>181</v>
      </c>
      <c r="C58" s="50" t="n">
        <v>1</v>
      </c>
      <c r="D58" s="50" t="s">
        <v>102</v>
      </c>
      <c r="E58" s="50" t="s">
        <v>182</v>
      </c>
      <c r="F58" s="50" t="s">
        <v>181</v>
      </c>
      <c r="G58" s="50" t="n">
        <v>1</v>
      </c>
      <c r="H58" s="50" t="s">
        <v>109</v>
      </c>
      <c r="I58" s="50" t="s">
        <v>182</v>
      </c>
    </row>
    <row r="59" customFormat="false" ht="15" hidden="false" customHeight="false" outlineLevel="0" collapsed="false">
      <c r="B59" s="50" t="s">
        <v>183</v>
      </c>
      <c r="C59" s="50" t="n">
        <v>2</v>
      </c>
      <c r="D59" s="50" t="s">
        <v>102</v>
      </c>
      <c r="E59" s="50" t="s">
        <v>184</v>
      </c>
      <c r="F59" s="50" t="s">
        <v>185</v>
      </c>
      <c r="G59" s="50" t="n">
        <v>2</v>
      </c>
      <c r="H59" s="50" t="s">
        <v>92</v>
      </c>
      <c r="I59" s="50" t="s">
        <v>186</v>
      </c>
    </row>
    <row r="60" customFormat="false" ht="15" hidden="false" customHeight="false" outlineLevel="0" collapsed="false">
      <c r="B60" s="50" t="s">
        <v>187</v>
      </c>
      <c r="C60" s="50" t="n">
        <v>3</v>
      </c>
      <c r="D60" s="50" t="s">
        <v>102</v>
      </c>
      <c r="E60" s="50" t="s">
        <v>188</v>
      </c>
      <c r="F60" s="50" t="s">
        <v>189</v>
      </c>
      <c r="G60" s="50" t="n">
        <v>3</v>
      </c>
      <c r="H60" s="50" t="s">
        <v>92</v>
      </c>
      <c r="I60" s="50" t="s">
        <v>186</v>
      </c>
    </row>
    <row r="61" customFormat="false" ht="15" hidden="false" customHeight="false" outlineLevel="0" collapsed="false">
      <c r="F61" s="50" t="s">
        <v>190</v>
      </c>
      <c r="G61" s="50" t="n">
        <v>4</v>
      </c>
      <c r="H61" s="50" t="s">
        <v>92</v>
      </c>
      <c r="I61" s="50" t="s">
        <v>191</v>
      </c>
    </row>
    <row r="62" customFormat="false" ht="15" hidden="false" customHeight="false" outlineLevel="0" collapsed="false">
      <c r="F62" s="50" t="s">
        <v>181</v>
      </c>
      <c r="G62" s="50" t="n">
        <v>5</v>
      </c>
      <c r="H62" s="50" t="s">
        <v>92</v>
      </c>
      <c r="I62" s="50" t="s">
        <v>182</v>
      </c>
    </row>
    <row r="63" customFormat="false" ht="15" hidden="false" customHeight="false" outlineLevel="0" collapsed="false">
      <c r="F63" s="50" t="s">
        <v>192</v>
      </c>
      <c r="G63" s="50" t="n">
        <v>6</v>
      </c>
      <c r="H63" s="50" t="s">
        <v>92</v>
      </c>
      <c r="I63" s="50" t="s">
        <v>193</v>
      </c>
    </row>
    <row r="64" customFormat="false" ht="15" hidden="false" customHeight="false" outlineLevel="0" collapsed="false">
      <c r="F64" s="50" t="s">
        <v>194</v>
      </c>
      <c r="G64" s="50" t="n">
        <v>7</v>
      </c>
      <c r="H64" s="50" t="s">
        <v>92</v>
      </c>
      <c r="I64" s="50" t="s">
        <v>195</v>
      </c>
    </row>
    <row r="65" customFormat="false" ht="15" hidden="false" customHeight="false" outlineLevel="0" collapsed="false">
      <c r="F65" s="50" t="s">
        <v>187</v>
      </c>
      <c r="G65" s="50" t="n">
        <v>8</v>
      </c>
      <c r="H65" s="50" t="s">
        <v>92</v>
      </c>
      <c r="I65" s="50" t="s">
        <v>188</v>
      </c>
    </row>
    <row r="66" customFormat="false" ht="15" hidden="false" customHeight="false" outlineLevel="0" collapsed="false">
      <c r="F66" s="50" t="s">
        <v>183</v>
      </c>
      <c r="G66" s="50" t="n">
        <v>9</v>
      </c>
      <c r="H66" s="50" t="s">
        <v>92</v>
      </c>
      <c r="I66" s="50" t="s">
        <v>184</v>
      </c>
    </row>
    <row r="67" customFormat="false" ht="15" hidden="false" customHeight="false" outlineLevel="0" collapsed="false">
      <c r="F67" s="50" t="s">
        <v>196</v>
      </c>
      <c r="G67" s="50" t="n">
        <v>10</v>
      </c>
      <c r="H67" s="50" t="s">
        <v>92</v>
      </c>
      <c r="I67" s="50" t="s">
        <v>197</v>
      </c>
    </row>
    <row r="68" customFormat="false" ht="15" hidden="false" customHeight="false" outlineLevel="0" collapsed="false">
      <c r="F68" s="50" t="s">
        <v>198</v>
      </c>
      <c r="G68" s="50" t="n">
        <v>11</v>
      </c>
      <c r="H68" s="50" t="s">
        <v>92</v>
      </c>
      <c r="I68" s="50" t="s">
        <v>199</v>
      </c>
    </row>
    <row r="69" customFormat="false" ht="15" hidden="false" customHeight="false" outlineLevel="0" collapsed="false">
      <c r="A69" s="50" t="s">
        <v>204</v>
      </c>
      <c r="B69" s="50" t="s">
        <v>205</v>
      </c>
    </row>
    <row r="70" customFormat="false" ht="15" hidden="false" customHeight="false" outlineLevel="0" collapsed="false">
      <c r="B70" s="51" t="s">
        <v>176</v>
      </c>
      <c r="C70" s="50" t="s">
        <v>177</v>
      </c>
      <c r="D70" s="50" t="s">
        <v>178</v>
      </c>
      <c r="E70" s="51" t="s">
        <v>179</v>
      </c>
    </row>
    <row r="71" customFormat="false" ht="15" hidden="false" customHeight="false" outlineLevel="0" collapsed="false">
      <c r="B71" s="50" t="s">
        <v>181</v>
      </c>
      <c r="C71" s="50" t="n">
        <v>1</v>
      </c>
      <c r="D71" s="50" t="s">
        <v>92</v>
      </c>
      <c r="E71" s="50" t="s">
        <v>182</v>
      </c>
    </row>
    <row r="72" customFormat="false" ht="15" hidden="false" customHeight="false" outlineLevel="0" collapsed="false">
      <c r="B72" s="50" t="s">
        <v>185</v>
      </c>
      <c r="C72" s="50" t="n">
        <v>2</v>
      </c>
      <c r="D72" s="50" t="s">
        <v>92</v>
      </c>
      <c r="E72" s="50" t="s">
        <v>186</v>
      </c>
    </row>
    <row r="73" customFormat="false" ht="15" hidden="false" customHeight="false" outlineLevel="0" collapsed="false">
      <c r="B73" s="50" t="s">
        <v>189</v>
      </c>
      <c r="C73" s="50" t="n">
        <v>3</v>
      </c>
      <c r="D73" s="50" t="s">
        <v>92</v>
      </c>
      <c r="E73" s="50" t="s">
        <v>186</v>
      </c>
    </row>
    <row r="74" customFormat="false" ht="15" hidden="false" customHeight="false" outlineLevel="0" collapsed="false">
      <c r="B74" s="50" t="s">
        <v>190</v>
      </c>
      <c r="C74" s="50" t="n">
        <v>4</v>
      </c>
      <c r="D74" s="50" t="s">
        <v>92</v>
      </c>
      <c r="E74" s="50" t="s">
        <v>191</v>
      </c>
    </row>
    <row r="75" customFormat="false" ht="15" hidden="false" customHeight="false" outlineLevel="0" collapsed="false">
      <c r="B75" s="50" t="s">
        <v>192</v>
      </c>
      <c r="C75" s="50" t="n">
        <v>5</v>
      </c>
      <c r="D75" s="50" t="s">
        <v>92</v>
      </c>
      <c r="E75" s="50" t="s">
        <v>193</v>
      </c>
    </row>
    <row r="76" customFormat="false" ht="15" hidden="false" customHeight="false" outlineLevel="0" collapsed="false">
      <c r="B76" s="50" t="s">
        <v>194</v>
      </c>
      <c r="C76" s="50" t="n">
        <v>6</v>
      </c>
      <c r="D76" s="50" t="s">
        <v>92</v>
      </c>
      <c r="E76" s="50" t="s">
        <v>195</v>
      </c>
    </row>
    <row r="77" customFormat="false" ht="15" hidden="false" customHeight="false" outlineLevel="0" collapsed="false">
      <c r="B77" s="50" t="s">
        <v>187</v>
      </c>
      <c r="C77" s="50" t="n">
        <v>7</v>
      </c>
      <c r="D77" s="50" t="s">
        <v>92</v>
      </c>
      <c r="E77" s="50" t="s">
        <v>188</v>
      </c>
    </row>
    <row r="78" customFormat="false" ht="15" hidden="false" customHeight="false" outlineLevel="0" collapsed="false">
      <c r="B78" s="50" t="s">
        <v>183</v>
      </c>
      <c r="C78" s="50" t="n">
        <v>8</v>
      </c>
      <c r="D78" s="50" t="s">
        <v>92</v>
      </c>
      <c r="E78" s="50" t="s">
        <v>184</v>
      </c>
    </row>
    <row r="79" customFormat="false" ht="15" hidden="false" customHeight="false" outlineLevel="0" collapsed="false">
      <c r="B79" s="50" t="s">
        <v>196</v>
      </c>
      <c r="C79" s="50" t="n">
        <v>9</v>
      </c>
      <c r="D79" s="50" t="s">
        <v>92</v>
      </c>
      <c r="E79" s="50" t="s">
        <v>197</v>
      </c>
    </row>
    <row r="80" customFormat="false" ht="15" hidden="false" customHeight="false" outlineLevel="0" collapsed="false">
      <c r="B80" s="50" t="s">
        <v>198</v>
      </c>
      <c r="C80" s="50" t="n">
        <v>10</v>
      </c>
      <c r="D80" s="50" t="s">
        <v>92</v>
      </c>
      <c r="E80" s="50" t="s">
        <v>199</v>
      </c>
    </row>
    <row r="81" customFormat="false" ht="15" hidden="false" customHeight="false" outlineLevel="0" collapsed="false">
      <c r="A81" s="50" t="s">
        <v>206</v>
      </c>
      <c r="B81" s="50" t="s">
        <v>205</v>
      </c>
    </row>
    <row r="82" customFormat="false" ht="15" hidden="false" customHeight="false" outlineLevel="0" collapsed="false">
      <c r="B82" s="51" t="s">
        <v>176</v>
      </c>
      <c r="C82" s="50" t="s">
        <v>177</v>
      </c>
      <c r="D82" s="50" t="s">
        <v>178</v>
      </c>
      <c r="E82" s="51" t="s">
        <v>179</v>
      </c>
    </row>
    <row r="84" customFormat="false" ht="15" hidden="false" customHeight="false" outlineLevel="0" collapsed="false">
      <c r="A84" s="49" t="s">
        <v>207</v>
      </c>
    </row>
    <row r="85" customFormat="false" ht="15" hidden="false" customHeight="false" outlineLevel="0" collapsed="false">
      <c r="A85" s="50" t="s">
        <v>173</v>
      </c>
      <c r="B85" s="50" t="s">
        <v>208</v>
      </c>
      <c r="G85" s="50" t="s">
        <v>209</v>
      </c>
    </row>
    <row r="86" customFormat="false" ht="15" hidden="false" customHeight="false" outlineLevel="0" collapsed="false">
      <c r="B86" s="51" t="s">
        <v>176</v>
      </c>
      <c r="C86" s="50" t="s">
        <v>177</v>
      </c>
      <c r="D86" s="50" t="s">
        <v>178</v>
      </c>
      <c r="E86" s="51" t="s">
        <v>179</v>
      </c>
      <c r="G86" s="51" t="s">
        <v>176</v>
      </c>
      <c r="H86" s="50" t="s">
        <v>177</v>
      </c>
      <c r="I86" s="50" t="s">
        <v>178</v>
      </c>
      <c r="J86" s="51" t="s">
        <v>179</v>
      </c>
    </row>
    <row r="87" customFormat="false" ht="15" hidden="false" customHeight="false" outlineLevel="0" collapsed="false">
      <c r="B87" s="50" t="s">
        <v>210</v>
      </c>
      <c r="C87" s="50" t="n">
        <v>1</v>
      </c>
      <c r="D87" s="50" t="s">
        <v>211</v>
      </c>
      <c r="E87" s="50" t="s">
        <v>212</v>
      </c>
      <c r="G87" s="50" t="s">
        <v>210</v>
      </c>
      <c r="H87" s="50" t="n">
        <v>1</v>
      </c>
      <c r="I87" s="50" t="s">
        <v>213</v>
      </c>
      <c r="J87" s="50" t="s">
        <v>212</v>
      </c>
    </row>
    <row r="88" customFormat="false" ht="15" hidden="false" customHeight="false" outlineLevel="0" collapsed="false">
      <c r="B88" s="50" t="s">
        <v>210</v>
      </c>
      <c r="C88" s="50" t="n">
        <v>2</v>
      </c>
      <c r="D88" s="50" t="s">
        <v>214</v>
      </c>
      <c r="E88" s="50" t="s">
        <v>212</v>
      </c>
      <c r="G88" s="50" t="s">
        <v>210</v>
      </c>
      <c r="H88" s="50" t="n">
        <v>2</v>
      </c>
      <c r="I88" s="50" t="s">
        <v>215</v>
      </c>
      <c r="J88" s="50" t="s">
        <v>212</v>
      </c>
    </row>
    <row r="89" customFormat="false" ht="15" hidden="false" customHeight="false" outlineLevel="0" collapsed="false">
      <c r="A89" s="50" t="s">
        <v>200</v>
      </c>
      <c r="B89" s="50" t="s">
        <v>216</v>
      </c>
    </row>
    <row r="90" customFormat="false" ht="15" hidden="false" customHeight="false" outlineLevel="0" collapsed="false">
      <c r="B90" s="51" t="s">
        <v>176</v>
      </c>
      <c r="C90" s="50" t="s">
        <v>177</v>
      </c>
      <c r="D90" s="50" t="s">
        <v>178</v>
      </c>
      <c r="E90" s="51" t="s">
        <v>179</v>
      </c>
    </row>
    <row r="91" customFormat="false" ht="15" hidden="false" customHeight="false" outlineLevel="0" collapsed="false">
      <c r="B91" s="50" t="s">
        <v>210</v>
      </c>
      <c r="C91" s="50" t="n">
        <v>1</v>
      </c>
      <c r="D91" s="50" t="s">
        <v>92</v>
      </c>
      <c r="E91" s="50" t="s">
        <v>217</v>
      </c>
    </row>
    <row r="92" customFormat="false" ht="15" hidden="false" customHeight="false" outlineLevel="0" collapsed="false">
      <c r="A92" s="50" t="s">
        <v>201</v>
      </c>
      <c r="B92" s="50" t="s">
        <v>216</v>
      </c>
    </row>
    <row r="93" customFormat="false" ht="15" hidden="false" customHeight="false" outlineLevel="0" collapsed="false">
      <c r="B93" s="51" t="s">
        <v>176</v>
      </c>
      <c r="C93" s="50" t="s">
        <v>177</v>
      </c>
      <c r="D93" s="50" t="s">
        <v>178</v>
      </c>
      <c r="E93" s="51" t="s">
        <v>179</v>
      </c>
    </row>
    <row r="94" customFormat="false" ht="15" hidden="false" customHeight="false" outlineLevel="0" collapsed="false">
      <c r="B94" s="50" t="s">
        <v>210</v>
      </c>
      <c r="C94" s="50" t="n">
        <v>1</v>
      </c>
      <c r="D94" s="50" t="s">
        <v>92</v>
      </c>
      <c r="E94" s="50" t="s">
        <v>218</v>
      </c>
    </row>
    <row r="95" customFormat="false" ht="15" hidden="false" customHeight="false" outlineLevel="0" collapsed="false">
      <c r="A95" s="50" t="s">
        <v>202</v>
      </c>
      <c r="B95" s="50" t="s">
        <v>88</v>
      </c>
    </row>
    <row r="96" customFormat="false" ht="15" hidden="false" customHeight="false" outlineLevel="0" collapsed="false">
      <c r="B96" s="51" t="s">
        <v>176</v>
      </c>
      <c r="C96" s="50" t="s">
        <v>177</v>
      </c>
      <c r="D96" s="50" t="s">
        <v>178</v>
      </c>
      <c r="E96" s="51" t="s">
        <v>179</v>
      </c>
    </row>
    <row r="97" customFormat="false" ht="15" hidden="false" customHeight="false" outlineLevel="0" collapsed="false">
      <c r="B97" s="50" t="s">
        <v>88</v>
      </c>
    </row>
    <row r="98" customFormat="false" ht="15" hidden="false" customHeight="false" outlineLevel="0" collapsed="false">
      <c r="A98" s="50" t="s">
        <v>203</v>
      </c>
      <c r="B98" s="50" t="s">
        <v>88</v>
      </c>
    </row>
    <row r="99" customFormat="false" ht="15" hidden="false" customHeight="false" outlineLevel="0" collapsed="false">
      <c r="B99" s="51" t="s">
        <v>176</v>
      </c>
      <c r="C99" s="50" t="s">
        <v>177</v>
      </c>
      <c r="D99" s="50" t="s">
        <v>178</v>
      </c>
      <c r="E99" s="51" t="s">
        <v>179</v>
      </c>
    </row>
    <row r="100" customFormat="false" ht="15" hidden="false" customHeight="false" outlineLevel="0" collapsed="false">
      <c r="B100" s="50" t="s">
        <v>88</v>
      </c>
    </row>
    <row r="101" customFormat="false" ht="15" hidden="false" customHeight="false" outlineLevel="0" collapsed="false">
      <c r="A101" s="50" t="s">
        <v>204</v>
      </c>
      <c r="B101" s="50" t="s">
        <v>88</v>
      </c>
    </row>
    <row r="102" customFormat="false" ht="15" hidden="false" customHeight="false" outlineLevel="0" collapsed="false">
      <c r="B102" s="51" t="s">
        <v>176</v>
      </c>
      <c r="C102" s="50" t="s">
        <v>177</v>
      </c>
      <c r="D102" s="50" t="s">
        <v>178</v>
      </c>
      <c r="E102" s="51" t="s">
        <v>179</v>
      </c>
    </row>
    <row r="103" customFormat="false" ht="15" hidden="false" customHeight="false" outlineLevel="0" collapsed="false">
      <c r="B103" s="50" t="s">
        <v>88</v>
      </c>
    </row>
    <row r="104" customFormat="false" ht="15" hidden="false" customHeight="false" outlineLevel="0" collapsed="false">
      <c r="A104" s="50" t="s">
        <v>206</v>
      </c>
      <c r="B104" s="50" t="s">
        <v>219</v>
      </c>
    </row>
    <row r="105" customFormat="false" ht="15" hidden="false" customHeight="false" outlineLevel="0" collapsed="false">
      <c r="B105" s="51" t="s">
        <v>176</v>
      </c>
      <c r="C105" s="50" t="s">
        <v>177</v>
      </c>
      <c r="D105" s="50" t="s">
        <v>178</v>
      </c>
      <c r="E105" s="51" t="s">
        <v>179</v>
      </c>
    </row>
    <row r="106" customFormat="false" ht="15" hidden="false" customHeight="false" outlineLevel="0" collapsed="false">
      <c r="B106" s="50" t="s">
        <v>210</v>
      </c>
      <c r="C106" s="50" t="n">
        <v>1</v>
      </c>
      <c r="D106" s="50" t="s">
        <v>92</v>
      </c>
      <c r="E106" s="50" t="s">
        <v>220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5" min="4" style="0" width="6"/>
    <col collapsed="false" customWidth="true" hidden="false" outlineLevel="0" max="6" min="6" style="0" width="16"/>
    <col collapsed="false" customWidth="true" hidden="false" outlineLevel="0" max="7" min="7" style="0" width="42"/>
  </cols>
  <sheetData>
    <row r="1" customFormat="false" ht="21.75" hidden="false" customHeight="true" outlineLevel="0" collapsed="false">
      <c r="A1" s="45" t="s">
        <v>221</v>
      </c>
      <c r="B1" s="45"/>
      <c r="C1" s="45"/>
      <c r="D1" s="45"/>
      <c r="E1" s="45"/>
      <c r="F1" s="45"/>
    </row>
    <row r="3" customFormat="false" ht="15" hidden="false" customHeight="false" outlineLevel="0" collapsed="false">
      <c r="A3" s="52" t="s">
        <v>222</v>
      </c>
    </row>
    <row r="4" customFormat="false" ht="15" hidden="false" customHeight="false" outlineLevel="0" collapsed="false">
      <c r="A4" s="53" t="s">
        <v>8</v>
      </c>
      <c r="B4" s="52" t="s">
        <v>223</v>
      </c>
      <c r="F4" s="53" t="s">
        <v>9</v>
      </c>
      <c r="G4" s="52" t="s">
        <v>224</v>
      </c>
    </row>
    <row r="5" customFormat="false" ht="15" hidden="false" customHeight="false" outlineLevel="0" collapsed="false">
      <c r="B5" s="53" t="s">
        <v>225</v>
      </c>
      <c r="C5" s="52" t="s">
        <v>226</v>
      </c>
      <c r="G5" s="53" t="s">
        <v>225</v>
      </c>
      <c r="H5" s="52" t="s">
        <v>226</v>
      </c>
    </row>
    <row r="6" customFormat="false" ht="15" hidden="false" customHeight="false" outlineLevel="0" collapsed="false">
      <c r="C6" s="52" t="s">
        <v>144</v>
      </c>
      <c r="H6" s="52" t="s">
        <v>144</v>
      </c>
    </row>
    <row r="7" customFormat="false" ht="15" hidden="false" customHeight="false" outlineLevel="0" collapsed="false">
      <c r="C7" s="52" t="s">
        <v>227</v>
      </c>
      <c r="H7" s="52" t="s">
        <v>228</v>
      </c>
    </row>
    <row r="8" customFormat="false" ht="15" hidden="false" customHeight="false" outlineLevel="0" collapsed="false">
      <c r="C8" s="52" t="s">
        <v>229</v>
      </c>
      <c r="H8" s="52" t="s">
        <v>230</v>
      </c>
    </row>
    <row r="9" customFormat="false" ht="15" hidden="false" customHeight="false" outlineLevel="0" collapsed="false">
      <c r="C9" s="52" t="s">
        <v>231</v>
      </c>
    </row>
    <row r="10" customFormat="false" ht="15" hidden="false" customHeight="false" outlineLevel="0" collapsed="false">
      <c r="C10" s="52" t="s">
        <v>232</v>
      </c>
    </row>
    <row r="11" customFormat="false" ht="15" hidden="false" customHeight="false" outlineLevel="0" collapsed="false">
      <c r="B11" s="53" t="s">
        <v>233</v>
      </c>
      <c r="C11" s="52" t="s">
        <v>234</v>
      </c>
      <c r="G11" s="53" t="s">
        <v>235</v>
      </c>
      <c r="H11" s="52" t="s">
        <v>236</v>
      </c>
    </row>
    <row r="12" customFormat="false" ht="15" hidden="false" customHeight="false" outlineLevel="0" collapsed="false">
      <c r="C12" s="52" t="s">
        <v>144</v>
      </c>
      <c r="H12" s="52" t="s">
        <v>144</v>
      </c>
    </row>
    <row r="13" customFormat="false" ht="15" hidden="false" customHeight="false" outlineLevel="0" collapsed="false">
      <c r="C13" s="53" t="s">
        <v>237</v>
      </c>
      <c r="H13" s="52" t="s">
        <v>228</v>
      </c>
    </row>
    <row r="14" customFormat="false" ht="15" hidden="false" customHeight="false" outlineLevel="0" collapsed="false">
      <c r="C14" s="52" t="s">
        <v>238</v>
      </c>
      <c r="H14" s="52" t="s">
        <v>230</v>
      </c>
    </row>
    <row r="15" customFormat="false" ht="15" hidden="false" customHeight="false" outlineLevel="0" collapsed="false">
      <c r="C15" s="52" t="s">
        <v>239</v>
      </c>
    </row>
    <row r="16" customFormat="false" ht="15" hidden="false" customHeight="false" outlineLevel="0" collapsed="false">
      <c r="C16" s="52" t="s">
        <v>232</v>
      </c>
    </row>
    <row r="18" customFormat="false" ht="15" hidden="false" customHeight="false" outlineLevel="0" collapsed="false">
      <c r="A18" s="54" t="s">
        <v>240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241</v>
      </c>
      <c r="B1" s="0" t="s">
        <v>242</v>
      </c>
      <c r="C1" s="0" t="s">
        <v>243</v>
      </c>
      <c r="D1" s="0" t="s">
        <v>244</v>
      </c>
    </row>
    <row r="2" customFormat="false" ht="15" hidden="false" customHeight="false" outlineLevel="0" collapsed="false">
      <c r="A2" s="0" t="str">
        <f aca="false">IF(Consolidated!B5="","",Consolidated!B5&amp;"|"&amp;TEXT(Consolidated!C5,"yyyymmdd")&amp;"|"&amp;HOUR(Consolidated!D5))</f>
        <v>ARC|20260701|11</v>
      </c>
      <c r="B2" s="0" t="str">
        <f aca="false">IF(Consolidated!B5="","",SUBSTITUTE(SUBSTITUTE(TEXT(Consolidated!D5,"h:mm AM/PM")," AM","a")," PM","p")&amp;IF(Consolidated!E5="",""," "&amp;Consolidated!E5)&amp;IF(Consolidated!H5="",""," "&amp;Consolidated!H5))</f>
        <v>11:30a NCs</v>
      </c>
      <c r="C2" s="0" t="str">
        <f aca="false">IF(Consolidated!B5="","",Consolidated!B5&amp;"|"&amp;TEXT(Consolidated!C5,"yyyymmdd"))</f>
        <v>ARC|20260701</v>
      </c>
      <c r="D2" s="0" t="str">
        <f aca="false">IF(Consolidated!I5="","",Consolidated!I5)</f>
        <v>Preplacement / Strat 2</v>
      </c>
    </row>
    <row r="3" customFormat="false" ht="15" hidden="false" customHeight="false" outlineLevel="0" collapsed="false">
      <c r="A3" s="0" t="str">
        <f aca="false">IF(Consolidated!B6="","",Consolidated!B6&amp;"|"&amp;TEXT(Consolidated!C6,"yyyymmdd")&amp;"|"&amp;HOUR(Consolidated!D6))</f>
        <v>ARC|20260701|15</v>
      </c>
      <c r="B3" s="0" t="str">
        <f aca="false">IF(Consolidated!B6="","",SUBSTITUTE(SUBSTITUTE(TEXT(Consolidated!D6,"h:mm AM/PM")," AM","a")," PM","p")&amp;IF(Consolidated!E6="",""," "&amp;Consolidated!E6)&amp;IF(Consolidated!H6="",""," "&amp;Consolidated!H6))</f>
        <v>3:30p All</v>
      </c>
      <c r="C3" s="0" t="str">
        <f aca="false">IF(Consolidated!B6="","",Consolidated!B6&amp;"|"&amp;TEXT(Consolidated!C6,"yyyymmdd"))</f>
        <v>ARC|20260701</v>
      </c>
      <c r="D3" s="0" t="str">
        <f aca="false">IF(Consolidated!I6="","",Consolidated!I6)</f>
        <v>Preplacement / Strat 2</v>
      </c>
    </row>
    <row r="4" customFormat="false" ht="15" hidden="false" customHeight="false" outlineLevel="0" collapsed="false">
      <c r="A4" s="0" t="str">
        <f aca="false">IF(Consolidated!B7="","",Consolidated!B7&amp;"|"&amp;TEXT(Consolidated!C7,"yyyymmdd")&amp;"|"&amp;HOUR(Consolidated!D7))</f>
        <v>Auto|20260701|8</v>
      </c>
      <c r="B4" s="0" t="str">
        <f aca="false">IF(Consolidated!B7="","",SUBSTITUTE(SUBSTITUTE(TEXT(Consolidated!D7,"h:mm AM/PM")," AM","a")," PM","p")&amp;IF(Consolidated!E7="",""," "&amp;Consolidated!E7)&amp;IF(Consolidated!H7="",""," "&amp;Consolidated!H7))</f>
        <v>8:30a E AMs</v>
      </c>
      <c r="C4" s="0" t="str">
        <f aca="false">IF(Consolidated!B7="","",Consolidated!B7&amp;"|"&amp;TEXT(Consolidated!C7,"yyyymmdd"))</f>
        <v>Auto|20260701</v>
      </c>
      <c r="D4" s="0" t="str">
        <f aca="false">IF(Consolidated!I7="","",Consolidated!I7)</f>
        <v>Slowpay AM Daily</v>
      </c>
    </row>
    <row r="5" customFormat="false" ht="15" hidden="false" customHeight="false" outlineLevel="0" collapsed="false">
      <c r="A5" s="0" t="str">
        <f aca="false">IF(Consolidated!B8="","",Consolidated!B8&amp;"|"&amp;TEXT(Consolidated!C8,"yyyymmdd")&amp;"|"&amp;HOUR(Consolidated!D8))</f>
        <v>Auto|20260701|11</v>
      </c>
      <c r="B5" s="0" t="str">
        <f aca="false">IF(Consolidated!B8="","",SUBSTITUTE(SUBSTITUTE(TEXT(Consolidated!D8,"h:mm AM/PM")," AM","a")," PM","p")&amp;IF(Consolidated!E8="",""," "&amp;Consolidated!E8)&amp;IF(Consolidated!H8="",""," "&amp;Consolidated!H8))</f>
        <v>11:30a C-M-P AMs</v>
      </c>
      <c r="C5" s="0" t="str">
        <f aca="false">IF(Consolidated!B8="","",Consolidated!B8&amp;"|"&amp;TEXT(Consolidated!C8,"yyyymmdd"))</f>
        <v>Auto|20260701</v>
      </c>
      <c r="D5" s="0" t="str">
        <f aca="false">IF(Consolidated!I8="","",Consolidated!I8)</f>
        <v/>
      </c>
    </row>
    <row r="6" customFormat="false" ht="15" hidden="false" customHeight="false" outlineLevel="0" collapsed="false">
      <c r="A6" s="0" t="str">
        <f aca="false">IF(Consolidated!B9="","",Consolidated!B9&amp;"|"&amp;TEXT(Consolidated!C9,"yyyymmdd")&amp;"|"&amp;HOUR(Consolidated!D9))</f>
        <v>Auto|20260701|14</v>
      </c>
      <c r="B6" s="0" t="str">
        <f aca="false">IF(Consolidated!B9="","",SUBSTITUTE(SUBSTITUTE(TEXT(Consolidated!D9,"h:mm AM/PM")," AM","a")," PM","p")&amp;IF(Consolidated!E9="",""," "&amp;Consolidated!E9)&amp;IF(Consolidated!H9="",""," "&amp;Consolidated!H9))</f>
        <v>2:00p WFO</v>
      </c>
      <c r="C6" s="0" t="str">
        <f aca="false">IF(Consolidated!B9="","",Consolidated!B9&amp;"|"&amp;TEXT(Consolidated!C9,"yyyymmdd"))</f>
        <v>Auto|20260701</v>
      </c>
      <c r="D6" s="0" t="str">
        <f aca="false">IF(Consolidated!I9="","",Consolidated!I9)</f>
        <v/>
      </c>
    </row>
    <row r="7" customFormat="false" ht="15" hidden="false" customHeight="false" outlineLevel="0" collapsed="false">
      <c r="A7" s="0" t="str">
        <f aca="false">IF(Consolidated!B10="","",Consolidated!B10&amp;"|"&amp;TEXT(Consolidated!C10,"yyyymmdd")&amp;"|"&amp;HOUR(Consolidated!D10))</f>
        <v>Auto|20260701|17</v>
      </c>
      <c r="B7" s="0" t="str">
        <f aca="false">IF(Consolidated!B10="","",SUBSTITUTE(SUBSTITUTE(TEXT(Consolidated!D10,"h:mm AM/PM")," AM","a")," PM","p")&amp;IF(Consolidated!E10="",""," "&amp;Consolidated!E10)&amp;IF(Consolidated!H10="",""," "&amp;Consolidated!H10))</f>
        <v>5:00p Blitz</v>
      </c>
      <c r="C7" s="0" t="str">
        <f aca="false">IF(Consolidated!B10="","",Consolidated!B10&amp;"|"&amp;TEXT(Consolidated!C10,"yyyymmdd"))</f>
        <v>Auto|20260701</v>
      </c>
      <c r="D7" s="0" t="str">
        <f aca="false">IF(Consolidated!I10="","",Consolidated!I10)</f>
        <v/>
      </c>
    </row>
    <row r="8" customFormat="false" ht="15" hidden="false" customHeight="false" outlineLevel="0" collapsed="false">
      <c r="A8" s="0" t="str">
        <f aca="false">IF(Consolidated!B11="","",Consolidated!B11&amp;"|"&amp;TEXT(Consolidated!C11,"yyyymmdd")&amp;"|"&amp;HOUR(Consolidated!D11))</f>
        <v>Auto|20260701|20</v>
      </c>
      <c r="B8" s="0" t="str">
        <f aca="false">IF(Consolidated!B11="","",SUBSTITUTE(SUBSTITUTE(TEXT(Consolidated!D11,"h:mm AM/PM")," AM","a")," PM","p")&amp;IF(Consolidated!E11="",""," "&amp;Consolidated!E11)&amp;IF(Consolidated!H11="",""," "&amp;Consolidated!H11))</f>
        <v>8:00p TSC (All)</v>
      </c>
      <c r="C8" s="0" t="str">
        <f aca="false">IF(Consolidated!B11="","",Consolidated!B11&amp;"|"&amp;TEXT(Consolidated!C11,"yyyymmdd"))</f>
        <v>Auto|20260701</v>
      </c>
      <c r="D8" s="0" t="str">
        <f aca="false">IF(Consolidated!I11="","",Consolidated!I11)</f>
        <v/>
      </c>
    </row>
    <row r="9" customFormat="false" ht="15" hidden="false" customHeight="false" outlineLevel="0" collapsed="false">
      <c r="A9" s="0" t="str">
        <f aca="false">IF(Consolidated!B12="","",Consolidated!B12&amp;"|"&amp;TEXT(Consolidated!C12,"yyyymmdd")&amp;"|"&amp;HOUR(Consolidated!D12))</f>
        <v>BE|20260701|10</v>
      </c>
      <c r="B9" s="0" t="str">
        <f aca="false">IF(Consolidated!B12="","",SUBSTITUTE(SUBSTITUTE(TEXT(Consolidated!D12,"h:mm AM/PM")," AM","a")," PM","p")&amp;IF(Consolidated!E12="",""," "&amp;Consolidated!E12)&amp;IF(Consolidated!H12="",""," "&amp;Consolidated!H12))</f>
        <v>10:00a E-C-M AMs</v>
      </c>
      <c r="C9" s="0" t="str">
        <f aca="false">IF(Consolidated!B12="","",Consolidated!B12&amp;"|"&amp;TEXT(Consolidated!C12,"yyyymmdd"))</f>
        <v>BE|20260701</v>
      </c>
      <c r="D9" s="0" t="str">
        <f aca="false">IF(Consolidated!I12="","",Consolidated!I12)</f>
        <v/>
      </c>
    </row>
    <row r="10" customFormat="false" ht="15" hidden="false" customHeight="false" outlineLevel="0" collapsed="false">
      <c r="A10" s="0" t="str">
        <f aca="false">IF(Consolidated!B13="","",Consolidated!B13&amp;"|"&amp;TEXT(Consolidated!C13,"yyyymmdd")&amp;"|"&amp;HOUR(Consolidated!D13))</f>
        <v>BE|20260701|11</v>
      </c>
      <c r="B10" s="0" t="str">
        <f aca="false">IF(Consolidated!B13="","",SUBSTITUTE(SUBSTITUTE(TEXT(Consolidated!D13,"h:mm AM/PM")," AM","a")," PM","p")&amp;IF(Consolidated!E13="",""," "&amp;Consolidated!E13)&amp;IF(Consolidated!H13="",""," "&amp;Consolidated!H13))</f>
        <v>11:30a P AMs</v>
      </c>
      <c r="C10" s="0" t="str">
        <f aca="false">IF(Consolidated!B13="","",Consolidated!B13&amp;"|"&amp;TEXT(Consolidated!C13,"yyyymmdd"))</f>
        <v>BE|20260701</v>
      </c>
      <c r="D10" s="0" t="str">
        <f aca="false">IF(Consolidated!I13="","",Consolidated!I13)</f>
        <v/>
      </c>
    </row>
    <row r="11" customFormat="false" ht="15" hidden="false" customHeight="false" outlineLevel="0" collapsed="false">
      <c r="A11" s="0" t="str">
        <f aca="false">IF(Consolidated!B14="","",Consolidated!B14&amp;"|"&amp;TEXT(Consolidated!C14,"yyyymmdd")&amp;"|"&amp;HOUR(Consolidated!D14))</f>
        <v>BE|20260701|14</v>
      </c>
      <c r="B11" s="0" t="str">
        <f aca="false">IF(Consolidated!B14="","",SUBSTITUTE(SUBSTITUTE(TEXT(Consolidated!D14,"h:mm AM/PM")," AM","a")," PM","p")&amp;IF(Consolidated!E14="",""," "&amp;Consolidated!E14)&amp;IF(Consolidated!H14="",""," "&amp;Consolidated!H14))</f>
        <v>2:00p WFO</v>
      </c>
      <c r="C11" s="0" t="str">
        <f aca="false">IF(Consolidated!B14="","",Consolidated!B14&amp;"|"&amp;TEXT(Consolidated!C14,"yyyymmdd"))</f>
        <v>BE|20260701</v>
      </c>
      <c r="D11" s="0" t="str">
        <f aca="false">IF(Consolidated!I14="","",Consolidated!I14)</f>
        <v/>
      </c>
    </row>
    <row r="12" customFormat="false" ht="15" hidden="false" customHeight="false" outlineLevel="0" collapsed="false">
      <c r="A12" s="0" t="str">
        <f aca="false">IF(Consolidated!B15="","",Consolidated!B15&amp;"|"&amp;TEXT(Consolidated!C15,"yyyymmdd")&amp;"|"&amp;HOUR(Consolidated!D15))</f>
        <v>BE|20260701|16</v>
      </c>
      <c r="B12" s="0" t="str">
        <f aca="false">IF(Consolidated!B15="","",SUBSTITUTE(SUBSTITUTE(TEXT(Consolidated!D15,"h:mm AM/PM")," AM","a")," PM","p")&amp;IF(Consolidated!E15="",""," "&amp;Consolidated!E15)&amp;IF(Consolidated!H15="",""," "&amp;Consolidated!H15))</f>
        <v>4:00p All</v>
      </c>
      <c r="C12" s="0" t="str">
        <f aca="false">IF(Consolidated!B15="","",Consolidated!B15&amp;"|"&amp;TEXT(Consolidated!C15,"yyyymmdd"))</f>
        <v>BE|20260701</v>
      </c>
      <c r="D12" s="0" t="str">
        <f aca="false">IF(Consolidated!I15="","",Consolidated!I15)</f>
        <v/>
      </c>
    </row>
    <row r="13" customFormat="false" ht="15" hidden="false" customHeight="false" outlineLevel="0" collapsed="false">
      <c r="A13" s="0" t="str">
        <f aca="false">IF(Consolidated!B16="","",Consolidated!B16&amp;"|"&amp;TEXT(Consolidated!C16,"yyyymmdd")&amp;"|"&amp;HOUR(Consolidated!D16))</f>
        <v>BE|20260701|18</v>
      </c>
      <c r="B13" s="0" t="str">
        <f aca="false">IF(Consolidated!B16="","",SUBSTITUTE(SUBSTITUTE(TEXT(Consolidated!D16,"h:mm AM/PM")," AM","a")," PM","p")&amp;IF(Consolidated!E16="",""," "&amp;Consolidated!E16)&amp;IF(Consolidated!H16="",""," "&amp;Consolidated!H16))</f>
        <v>6:00p All</v>
      </c>
      <c r="C13" s="0" t="str">
        <f aca="false">IF(Consolidated!B16="","",Consolidated!B16&amp;"|"&amp;TEXT(Consolidated!C16,"yyyymmdd"))</f>
        <v>BE|20260701</v>
      </c>
      <c r="D13" s="0" t="str">
        <f aca="false">IF(Consolidated!I16="","",Consolidated!I16)</f>
        <v/>
      </c>
    </row>
    <row r="14" customFormat="false" ht="15" hidden="false" customHeight="false" outlineLevel="0" collapsed="false">
      <c r="A14" s="0" t="str">
        <f aca="false">IF(Consolidated!B17="","",Consolidated!B17&amp;"|"&amp;TEXT(Consolidated!C17,"yyyymmdd")&amp;"|"&amp;HOUR(Consolidated!D17))</f>
        <v>BE|20260701|20</v>
      </c>
      <c r="B14" s="0" t="str">
        <f aca="false">IF(Consolidated!B17="","",SUBSTITUTE(SUBSTITUTE(TEXT(Consolidated!D17,"h:mm AM/PM")," AM","a")," PM","p")&amp;IF(Consolidated!E17="",""," "&amp;Consolidated!E17)&amp;IF(Consolidated!H17="",""," "&amp;Consolidated!H17))</f>
        <v>8:00p TSC (All)</v>
      </c>
      <c r="C14" s="0" t="str">
        <f aca="false">IF(Consolidated!B17="","",Consolidated!B17&amp;"|"&amp;TEXT(Consolidated!C17,"yyyymmdd"))</f>
        <v>BE|20260701</v>
      </c>
      <c r="D14" s="0" t="str">
        <f aca="false">IF(Consolidated!I17="","",Consolidated!I17)</f>
        <v/>
      </c>
    </row>
    <row r="15" customFormat="false" ht="15" hidden="false" customHeight="false" outlineLevel="0" collapsed="false">
      <c r="A15" s="0" t="str">
        <f aca="false">IF(Consolidated!B18="","",Consolidated!B18&amp;"|"&amp;TEXT(Consolidated!C18,"yyyymmdd")&amp;"|"&amp;HOUR(Consolidated!D18))</f>
        <v>Branch Central|20260701|12</v>
      </c>
      <c r="B15" s="0" t="str">
        <f aca="false">IF(Consolidated!B18="","",SUBSTITUTE(SUBSTITUTE(TEXT(Consolidated!D18,"h:mm AM/PM")," AM","a")," PM","p")&amp;IF(Consolidated!E18="",""," "&amp;Consolidated!E18)&amp;IF(Consolidated!H18="",""," "&amp;Consolidated!H18))</f>
        <v>12:30p E-C 1s &amp; Slow</v>
      </c>
      <c r="C15" s="0" t="str">
        <f aca="false">IF(Consolidated!B18="","",Consolidated!B18&amp;"|"&amp;TEXT(Consolidated!C18,"yyyymmdd"))</f>
        <v>Branch Central|20260701</v>
      </c>
      <c r="D15" s="0" t="str">
        <f aca="false">IF(Consolidated!I18="","",Consolidated!I18)</f>
        <v/>
      </c>
    </row>
    <row r="16" customFormat="false" ht="15" hidden="false" customHeight="false" outlineLevel="0" collapsed="false">
      <c r="A16" s="0" t="str">
        <f aca="false">IF(Consolidated!B19="","",Consolidated!B19&amp;"|"&amp;TEXT(Consolidated!C19,"yyyymmdd")&amp;"|"&amp;HOUR(Consolidated!D19))</f>
        <v>Card|20260701|8</v>
      </c>
      <c r="B16" s="0" t="str">
        <f aca="false">IF(Consolidated!B19="","",SUBSTITUTE(SUBSTITUTE(TEXT(Consolidated!D19,"h:mm AM/PM")," AM","a")," PM","p")&amp;IF(Consolidated!E19="",""," "&amp;Consolidated!E19)&amp;IF(Consolidated!H19="",""," "&amp;Consolidated!H19))</f>
        <v>8:00a</v>
      </c>
      <c r="C16" s="0" t="str">
        <f aca="false">IF(Consolidated!B19="","",Consolidated!B19&amp;"|"&amp;TEXT(Consolidated!C19,"yyyymmdd"))</f>
        <v>Card|20260701</v>
      </c>
      <c r="D16" s="0" t="str">
        <f aca="false">IF(Consolidated!I19="","",Consolidated!I19)</f>
        <v/>
      </c>
    </row>
    <row r="17" customFormat="false" ht="15" hidden="false" customHeight="false" outlineLevel="0" collapsed="false">
      <c r="A17" s="0" t="str">
        <f aca="false">IF(Consolidated!B20="","",Consolidated!B20&amp;"|"&amp;TEXT(Consolidated!C20,"yyyymmdd")&amp;"|"&amp;HOUR(Consolidated!D20))</f>
        <v>Card|20260701|12</v>
      </c>
      <c r="B17" s="0" t="str">
        <f aca="false">IF(Consolidated!B20="","",SUBSTITUTE(SUBSTITUTE(TEXT(Consolidated!D20,"h:mm AM/PM")," AM","a")," PM","p")&amp;IF(Consolidated!E20="",""," "&amp;Consolidated!E20)&amp;IF(Consolidated!H20="",""," "&amp;Consolidated!H20))</f>
        <v>12:00p</v>
      </c>
      <c r="C17" s="0" t="str">
        <f aca="false">IF(Consolidated!B20="","",Consolidated!B20&amp;"|"&amp;TEXT(Consolidated!C20,"yyyymmdd"))</f>
        <v>Card|20260701</v>
      </c>
      <c r="D17" s="0" t="str">
        <f aca="false">IF(Consolidated!I20="","",Consolidated!I20)</f>
        <v/>
      </c>
    </row>
    <row r="18" customFormat="false" ht="15" hidden="false" customHeight="false" outlineLevel="0" collapsed="false">
      <c r="A18" s="0" t="str">
        <f aca="false">IF(Consolidated!B21="","",Consolidated!B21&amp;"|"&amp;TEXT(Consolidated!C21,"yyyymmdd")&amp;"|"&amp;HOUR(Consolidated!D21))</f>
        <v>Card|20260701|14</v>
      </c>
      <c r="B18" s="0" t="str">
        <f aca="false">IF(Consolidated!B21="","",SUBSTITUTE(SUBSTITUTE(TEXT(Consolidated!D21,"h:mm AM/PM")," AM","a")," PM","p")&amp;IF(Consolidated!E21="",""," "&amp;Consolidated!E21)&amp;IF(Consolidated!H21="",""," "&amp;Consolidated!H21))</f>
        <v>2:00p ASAP</v>
      </c>
      <c r="C18" s="0" t="str">
        <f aca="false">IF(Consolidated!B21="","",Consolidated!B21&amp;"|"&amp;TEXT(Consolidated!C21,"yyyymmdd"))</f>
        <v>Card|20260701</v>
      </c>
      <c r="D18" s="0" t="str">
        <f aca="false">IF(Consolidated!I21="","",Consolidated!I21)</f>
        <v/>
      </c>
    </row>
    <row r="19" customFormat="false" ht="15" hidden="false" customHeight="false" outlineLevel="0" collapsed="false">
      <c r="A19" s="0" t="str">
        <f aca="false">IF(Consolidated!B22="","",Consolidated!B22&amp;"|"&amp;TEXT(Consolidated!C22,"yyyymmdd")&amp;"|"&amp;HOUR(Consolidated!D22))</f>
        <v>Card|20260701|16</v>
      </c>
      <c r="B19" s="0" t="str">
        <f aca="false">IF(Consolidated!B22="","",SUBSTITUTE(SUBSTITUTE(TEXT(Consolidated!D22,"h:mm AM/PM")," AM","a")," PM","p")&amp;IF(Consolidated!E22="",""," "&amp;Consolidated!E22)&amp;IF(Consolidated!H22="",""," "&amp;Consolidated!H22))</f>
        <v>4:00p ASAP</v>
      </c>
      <c r="C19" s="0" t="str">
        <f aca="false">IF(Consolidated!B22="","",Consolidated!B22&amp;"|"&amp;TEXT(Consolidated!C22,"yyyymmdd"))</f>
        <v>Card|20260701</v>
      </c>
      <c r="D19" s="0" t="str">
        <f aca="false">IF(Consolidated!I22="","",Consolidated!I22)</f>
        <v/>
      </c>
    </row>
    <row r="20" customFormat="false" ht="15" hidden="false" customHeight="false" outlineLevel="0" collapsed="false">
      <c r="A20" s="0" t="str">
        <f aca="false">IF(Consolidated!B23="","",Consolidated!B23&amp;"|"&amp;TEXT(Consolidated!C23,"yyyymmdd")&amp;"|"&amp;HOUR(Consolidated!D23))</f>
        <v>Card|20260701|18</v>
      </c>
      <c r="B20" s="0" t="str">
        <f aca="false">IF(Consolidated!B23="","",SUBSTITUTE(SUBSTITUTE(TEXT(Consolidated!D23,"h:mm AM/PM")," AM","a")," PM","p")&amp;IF(Consolidated!E23="",""," "&amp;Consolidated!E23)&amp;IF(Consolidated!H23="",""," "&amp;Consolidated!H23))</f>
        <v>6:00p ASAP</v>
      </c>
      <c r="C20" s="0" t="str">
        <f aca="false">IF(Consolidated!B23="","",Consolidated!B23&amp;"|"&amp;TEXT(Consolidated!C23,"yyyymmdd"))</f>
        <v>Card|20260701</v>
      </c>
      <c r="D20" s="0" t="str">
        <f aca="false">IF(Consolidated!I23="","",Consolidated!I23)</f>
        <v/>
      </c>
    </row>
    <row r="21" customFormat="false" ht="15" hidden="false" customHeight="false" outlineLevel="0" collapsed="false">
      <c r="A21" s="0" t="str">
        <f aca="false">IF(Consolidated!B24="","",Consolidated!B24&amp;"|"&amp;TEXT(Consolidated!C24,"yyyymmdd")&amp;"|"&amp;HOUR(Consolidated!D24))</f>
        <v>FE|20260701|8</v>
      </c>
      <c r="B21" s="0" t="str">
        <f aca="false">IF(Consolidated!B24="","",SUBSTITUTE(SUBSTITUTE(TEXT(Consolidated!D24,"h:mm AM/PM")," AM","a")," PM","p")&amp;IF(Consolidated!E24="",""," "&amp;Consolidated!E24)&amp;IF(Consolidated!H24="",""," "&amp;Consolidated!H24))</f>
        <v>8:15a E AMs</v>
      </c>
      <c r="C21" s="0" t="str">
        <f aca="false">IF(Consolidated!B24="","",Consolidated!B24&amp;"|"&amp;TEXT(Consolidated!C24,"yyyymmdd"))</f>
        <v>FE|20260701</v>
      </c>
      <c r="D21" s="0" t="str">
        <f aca="false">IF(Consolidated!I24="","",Consolidated!I24)</f>
        <v/>
      </c>
    </row>
    <row r="22" customFormat="false" ht="15" hidden="false" customHeight="false" outlineLevel="0" collapsed="false">
      <c r="A22" s="0" t="str">
        <f aca="false">IF(Consolidated!B25="","",Consolidated!B25&amp;"|"&amp;TEXT(Consolidated!C25,"yyyymmdd")&amp;"|"&amp;HOUR(Consolidated!D25))</f>
        <v>FE|20260701|9</v>
      </c>
      <c r="B22" s="0" t="str">
        <f aca="false">IF(Consolidated!B25="","",SUBSTITUTE(SUBSTITUTE(TEXT(Consolidated!D25,"h:mm AM/PM")," AM","a")," PM","p")&amp;IF(Consolidated!E25="",""," "&amp;Consolidated!E25)&amp;IF(Consolidated!H25="",""," "&amp;Consolidated!H25))</f>
        <v>9:15a C AMs</v>
      </c>
      <c r="C22" s="0" t="str">
        <f aca="false">IF(Consolidated!B25="","",Consolidated!B25&amp;"|"&amp;TEXT(Consolidated!C25,"yyyymmdd"))</f>
        <v>FE|20260701</v>
      </c>
      <c r="D22" s="0" t="str">
        <f aca="false">IF(Consolidated!I25="","",Consolidated!I25)</f>
        <v/>
      </c>
    </row>
    <row r="23" customFormat="false" ht="15" hidden="false" customHeight="false" outlineLevel="0" collapsed="false">
      <c r="A23" s="0" t="str">
        <f aca="false">IF(Consolidated!B26="","",Consolidated!B26&amp;"|"&amp;TEXT(Consolidated!C26,"yyyymmdd")&amp;"|"&amp;HOUR(Consolidated!D26))</f>
        <v>FE|20260701|11</v>
      </c>
      <c r="B23" s="0" t="str">
        <f aca="false">IF(Consolidated!B26="","",SUBSTITUTE(SUBSTITUTE(TEXT(Consolidated!D26,"h:mm AM/PM")," AM","a")," PM","p")&amp;IF(Consolidated!E26="",""," "&amp;Consolidated!E26)&amp;IF(Consolidated!H26="",""," "&amp;Consolidated!H26))</f>
        <v>11:30a M-P AMs</v>
      </c>
      <c r="C23" s="0" t="str">
        <f aca="false">IF(Consolidated!B26="","",Consolidated!B26&amp;"|"&amp;TEXT(Consolidated!C26,"yyyymmdd"))</f>
        <v>FE|20260701</v>
      </c>
      <c r="D23" s="0" t="str">
        <f aca="false">IF(Consolidated!I26="","",Consolidated!I26)</f>
        <v/>
      </c>
    </row>
    <row r="24" customFormat="false" ht="15" hidden="false" customHeight="false" outlineLevel="0" collapsed="false">
      <c r="A24" s="0" t="str">
        <f aca="false">IF(Consolidated!B27="","",Consolidated!B27&amp;"|"&amp;TEXT(Consolidated!C27,"yyyymmdd")&amp;"|"&amp;HOUR(Consolidated!D27))</f>
        <v>FE|20260701|12</v>
      </c>
      <c r="B24" s="0" t="str">
        <f aca="false">IF(Consolidated!B27="","",SUBSTITUTE(SUBSTITUTE(TEXT(Consolidated!D27,"h:mm AM/PM")," AM","a")," PM","p")&amp;IF(Consolidated!E27="",""," "&amp;Consolidated!E27)&amp;IF(Consolidated!H27="",""," "&amp;Consolidated!H27))</f>
        <v>12:30p Branch</v>
      </c>
      <c r="C24" s="0" t="str">
        <f aca="false">IF(Consolidated!B27="","",Consolidated!B27&amp;"|"&amp;TEXT(Consolidated!C27,"yyyymmdd"))</f>
        <v>FE|20260701</v>
      </c>
      <c r="D24" s="0" t="str">
        <f aca="false">IF(Consolidated!I27="","",Consolidated!I27)</f>
        <v/>
      </c>
    </row>
    <row r="25" customFormat="false" ht="15" hidden="false" customHeight="false" outlineLevel="0" collapsed="false">
      <c r="A25" s="0" t="str">
        <f aca="false">IF(Consolidated!B28="","",Consolidated!B28&amp;"|"&amp;TEXT(Consolidated!C28,"yyyymmdd")&amp;"|"&amp;HOUR(Consolidated!D28))</f>
        <v>FE|20260701|14</v>
      </c>
      <c r="B25" s="0" t="str">
        <f aca="false">IF(Consolidated!B28="","",SUBSTITUTE(SUBSTITUTE(TEXT(Consolidated!D28,"h:mm AM/PM")," AM","a")," PM","p")&amp;IF(Consolidated!E28="",""," "&amp;Consolidated!E28)&amp;IF(Consolidated!H28="",""," "&amp;Consolidated!H28))</f>
        <v>2:30p WFO</v>
      </c>
      <c r="C25" s="0" t="str">
        <f aca="false">IF(Consolidated!B28="","",Consolidated!B28&amp;"|"&amp;TEXT(Consolidated!C28,"yyyymmdd"))</f>
        <v>FE|20260701</v>
      </c>
      <c r="D25" s="0" t="str">
        <f aca="false">IF(Consolidated!I28="","",Consolidated!I28)</f>
        <v/>
      </c>
    </row>
    <row r="26" customFormat="false" ht="15" hidden="false" customHeight="false" outlineLevel="0" collapsed="false">
      <c r="A26" s="0" t="str">
        <f aca="false">IF(Consolidated!B29="","",Consolidated!B29&amp;"|"&amp;TEXT(Consolidated!C29,"yyyymmdd")&amp;"|"&amp;HOUR(Consolidated!D29))</f>
        <v>FE|20260701|17</v>
      </c>
      <c r="B26" s="0" t="str">
        <f aca="false">IF(Consolidated!B29="","",SUBSTITUTE(SUBSTITUTE(TEXT(Consolidated!D29,"h:mm AM/PM")," AM","a")," PM","p")&amp;IF(Consolidated!E29="",""," "&amp;Consolidated!E29)&amp;IF(Consolidated!H29="",""," "&amp;Consolidated!H29))</f>
        <v>5:00p Blitz</v>
      </c>
      <c r="C26" s="0" t="str">
        <f aca="false">IF(Consolidated!B29="","",Consolidated!B29&amp;"|"&amp;TEXT(Consolidated!C29,"yyyymmdd"))</f>
        <v>FE|20260701</v>
      </c>
      <c r="D26" s="0" t="str">
        <f aca="false">IF(Consolidated!I29="","",Consolidated!I29)</f>
        <v/>
      </c>
    </row>
    <row r="27" customFormat="false" ht="15" hidden="false" customHeight="false" outlineLevel="0" collapsed="false">
      <c r="A27" s="0" t="str">
        <f aca="false">IF(Consolidated!B30="","",Consolidated!B30&amp;"|"&amp;TEXT(Consolidated!C30,"yyyymmdd")&amp;"|"&amp;HOUR(Consolidated!D30))</f>
        <v>FE|20260701|20</v>
      </c>
      <c r="B27" s="0" t="str">
        <f aca="false">IF(Consolidated!B30="","",SUBSTITUTE(SUBSTITUTE(TEXT(Consolidated!D30,"h:mm AM/PM")," AM","a")," PM","p")&amp;IF(Consolidated!E30="",""," "&amp;Consolidated!E30)&amp;IF(Consolidated!H30="",""," "&amp;Consolidated!H30))</f>
        <v>8:00p TSC (All)</v>
      </c>
      <c r="C27" s="0" t="str">
        <f aca="false">IF(Consolidated!B30="","",Consolidated!B30&amp;"|"&amp;TEXT(Consolidated!C30,"yyyymmdd"))</f>
        <v>FE|20260701</v>
      </c>
      <c r="D27" s="0" t="str">
        <f aca="false">IF(Consolidated!I30="","",Consolidated!I30)</f>
        <v/>
      </c>
    </row>
    <row r="28" customFormat="false" ht="15" hidden="false" customHeight="false" outlineLevel="0" collapsed="false">
      <c r="A28" s="0" t="str">
        <f aca="false">IF(Consolidated!B31="","",Consolidated!B31&amp;"|"&amp;TEXT(Consolidated!C31,"yyyymmdd")&amp;"|"&amp;HOUR(Consolidated!D31))</f>
        <v>Optional Products|20260701|0</v>
      </c>
      <c r="B28" s="0" t="str">
        <f aca="false">IF(Consolidated!B31="","",SUBSTITUTE(SUBSTITUTE(TEXT(Consolidated!D31,"h:mm AM/PM")," AM","a")," PM","p")&amp;IF(Consolidated!E31="",""," "&amp;Consolidated!E31)&amp;IF(Consolidated!H31="",""," "&amp;Consolidated!H31))</f>
        <v>12:00a Second</v>
      </c>
      <c r="C28" s="0" t="str">
        <f aca="false">IF(Consolidated!B31="","",Consolidated!B31&amp;"|"&amp;TEXT(Consolidated!C31,"yyyymmdd"))</f>
        <v>Optional Products|20260701</v>
      </c>
      <c r="D28" s="0" t="str">
        <f aca="false">IF(Consolidated!I31="","",Consolidated!I31)</f>
        <v>Priority Order: Second</v>
      </c>
    </row>
    <row r="29" customFormat="false" ht="15" hidden="false" customHeight="false" outlineLevel="0" collapsed="false">
      <c r="A29" s="0" t="str">
        <f aca="false">IF(Consolidated!B32="","",Consolidated!B32&amp;"|"&amp;TEXT(Consolidated!C32,"yyyymmdd")&amp;"|"&amp;HOUR(Consolidated!D32))</f>
        <v>Repo|20260701|10</v>
      </c>
      <c r="B29" s="0" t="str">
        <f aca="false">IF(Consolidated!B32="","",SUBSTITUTE(SUBSTITUTE(TEXT(Consolidated!D32,"h:mm AM/PM")," AM","a")," PM","p")&amp;IF(Consolidated!E32="",""," "&amp;Consolidated!E32)&amp;IF(Consolidated!H32="",""," "&amp;Consolidated!H32))</f>
        <v>10:00a RP</v>
      </c>
      <c r="C29" s="0" t="str">
        <f aca="false">IF(Consolidated!B32="","",Consolidated!B32&amp;"|"&amp;TEXT(Consolidated!C32,"yyyymmdd"))</f>
        <v>Repo|20260701</v>
      </c>
      <c r="D29" s="0" t="str">
        <f aca="false">IF(Consolidated!I32="","",Consolidated!I32)</f>
        <v>AM Daily</v>
      </c>
    </row>
    <row r="30" customFormat="false" ht="15" hidden="false" customHeight="false" outlineLevel="0" collapsed="false">
      <c r="A30" s="0" t="str">
        <f aca="false">IF(Consolidated!B33="","",Consolidated!B33&amp;"|"&amp;TEXT(Consolidated!C33,"yyyymmdd")&amp;"|"&amp;HOUR(Consolidated!D33))</f>
        <v>Repo|20260701|12</v>
      </c>
      <c r="B30" s="0" t="str">
        <f aca="false">IF(Consolidated!B33="","",SUBSTITUTE(SUBSTITUTE(TEXT(Consolidated!D33,"h:mm AM/PM")," AM","a")," PM","p")&amp;IF(Consolidated!E33="",""," "&amp;Consolidated!E33)&amp;IF(Consolidated!H33="",""," "&amp;Consolidated!H33))</f>
        <v>12:00p RP</v>
      </c>
      <c r="C30" s="0" t="str">
        <f aca="false">IF(Consolidated!B33="","",Consolidated!B33&amp;"|"&amp;TEXT(Consolidated!C33,"yyyymmdd"))</f>
        <v>Repo|20260701</v>
      </c>
      <c r="D30" s="0" t="str">
        <f aca="false">IF(Consolidated!I33="","",Consolidated!I33)</f>
        <v/>
      </c>
    </row>
    <row r="31" customFormat="false" ht="15" hidden="false" customHeight="false" outlineLevel="0" collapsed="false">
      <c r="A31" s="0" t="str">
        <f aca="false">IF(Consolidated!B34="","",Consolidated!B34&amp;"|"&amp;TEXT(Consolidated!C34,"yyyymmdd")&amp;"|"&amp;HOUR(Consolidated!D34))</f>
        <v>Repo|20260701|13</v>
      </c>
      <c r="B31" s="0" t="str">
        <f aca="false">IF(Consolidated!B34="","",SUBSTITUTE(SUBSTITUTE(TEXT(Consolidated!D34,"h:mm AM/PM")," AM","a")," PM","p")&amp;IF(Consolidated!E34="",""," "&amp;Consolidated!E34)&amp;IF(Consolidated!H34="",""," "&amp;Consolidated!H34))</f>
        <v>1:00p Repo</v>
      </c>
      <c r="C31" s="0" t="str">
        <f aca="false">IF(Consolidated!B34="","",Consolidated!B34&amp;"|"&amp;TEXT(Consolidated!C34,"yyyymmdd"))</f>
        <v>Repo|20260701</v>
      </c>
      <c r="D31" s="0" t="str">
        <f aca="false">IF(Consolidated!I34="","",Consolidated!I34)</f>
        <v/>
      </c>
    </row>
    <row r="32" customFormat="false" ht="15" hidden="false" customHeight="false" outlineLevel="0" collapsed="false">
      <c r="A32" s="0" t="str">
        <f aca="false">IF(Consolidated!B35="","",Consolidated!B35&amp;"|"&amp;TEXT(Consolidated!C35,"yyyymmdd")&amp;"|"&amp;HOUR(Consolidated!D35))</f>
        <v>Repo|20260701|15</v>
      </c>
      <c r="B32" s="0" t="str">
        <f aca="false">IF(Consolidated!B35="","",SUBSTITUTE(SUBSTITUTE(TEXT(Consolidated!D35,"h:mm AM/PM")," AM","a")," PM","p")&amp;IF(Consolidated!E35="",""," "&amp;Consolidated!E35)&amp;IF(Consolidated!H35="",""," "&amp;Consolidated!H35))</f>
        <v>3:00p Repo</v>
      </c>
      <c r="C32" s="0" t="str">
        <f aca="false">IF(Consolidated!B35="","",Consolidated!B35&amp;"|"&amp;TEXT(Consolidated!C35,"yyyymmdd"))</f>
        <v>Repo|20260701</v>
      </c>
      <c r="D32" s="0" t="str">
        <f aca="false">IF(Consolidated!I35="","",Consolidated!I35)</f>
        <v/>
      </c>
    </row>
    <row r="33" customFormat="false" ht="15" hidden="false" customHeight="false" outlineLevel="0" collapsed="false">
      <c r="A33" s="0" t="str">
        <f aca="false">IF(Consolidated!B36="","",Consolidated!B36&amp;"|"&amp;TEXT(Consolidated!C36,"yyyymmdd")&amp;"|"&amp;HOUR(Consolidated!D36))</f>
        <v>ARC|20260702|14</v>
      </c>
      <c r="B33" s="0" t="str">
        <f aca="false">IF(Consolidated!B36="","",SUBSTITUTE(SUBSTITUTE(TEXT(Consolidated!D36,"h:mm AM/PM")," AM","a")," PM","p")&amp;IF(Consolidated!E36="",""," "&amp;Consolidated!E36)&amp;IF(Consolidated!H36="",""," "&amp;Consolidated!H36))</f>
        <v>2:00p NCs</v>
      </c>
      <c r="C33" s="0" t="str">
        <f aca="false">IF(Consolidated!B36="","",Consolidated!B36&amp;"|"&amp;TEXT(Consolidated!C36,"yyyymmdd"))</f>
        <v>ARC|20260702</v>
      </c>
      <c r="D33" s="0" t="str">
        <f aca="false">IF(Consolidated!I36="","",Consolidated!I36)</f>
        <v>Broken Promise / Recent Pay / Dialer Only</v>
      </c>
    </row>
    <row r="34" customFormat="false" ht="15" hidden="false" customHeight="false" outlineLevel="0" collapsed="false">
      <c r="A34" s="0" t="str">
        <f aca="false">IF(Consolidated!B37="","",Consolidated!B37&amp;"|"&amp;TEXT(Consolidated!C37,"yyyymmdd")&amp;"|"&amp;HOUR(Consolidated!D37))</f>
        <v>Auto|20260702|8</v>
      </c>
      <c r="B34" s="0" t="str">
        <f aca="false">IF(Consolidated!B37="","",SUBSTITUTE(SUBSTITUTE(TEXT(Consolidated!D37,"h:mm AM/PM")," AM","a")," PM","p")&amp;IF(Consolidated!E37="",""," "&amp;Consolidated!E37)&amp;IF(Consolidated!H37="",""," "&amp;Consolidated!H37))</f>
        <v>8:15a E</v>
      </c>
      <c r="C34" s="0" t="str">
        <f aca="false">IF(Consolidated!B37="","",Consolidated!B37&amp;"|"&amp;TEXT(Consolidated!C37,"yyyymmdd"))</f>
        <v>Auto|20260702</v>
      </c>
      <c r="D34" s="0" t="str">
        <f aca="false">IF(Consolidated!I37="","",Consolidated!I37)</f>
        <v>Slowpay AM Daily</v>
      </c>
    </row>
    <row r="35" customFormat="false" ht="15" hidden="false" customHeight="false" outlineLevel="0" collapsed="false">
      <c r="A35" s="0" t="str">
        <f aca="false">IF(Consolidated!B38="","",Consolidated!B38&amp;"|"&amp;TEXT(Consolidated!C38,"yyyymmdd")&amp;"|"&amp;HOUR(Consolidated!D38))</f>
        <v>Auto|20260702|11</v>
      </c>
      <c r="B35" s="0" t="str">
        <f aca="false">IF(Consolidated!B38="","",SUBSTITUTE(SUBSTITUTE(TEXT(Consolidated!D38,"h:mm AM/PM")," AM","a")," PM","p")&amp;IF(Consolidated!E38="",""," "&amp;Consolidated!E38)&amp;IF(Consolidated!H38="",""," "&amp;Consolidated!H38))</f>
        <v>11:30a C-M-P</v>
      </c>
      <c r="C35" s="0" t="str">
        <f aca="false">IF(Consolidated!B38="","",Consolidated!B38&amp;"|"&amp;TEXT(Consolidated!C38,"yyyymmdd"))</f>
        <v>Auto|20260702</v>
      </c>
      <c r="D35" s="0" t="str">
        <f aca="false">IF(Consolidated!I38="","",Consolidated!I38)</f>
        <v/>
      </c>
    </row>
    <row r="36" customFormat="false" ht="15" hidden="false" customHeight="false" outlineLevel="0" collapsed="false">
      <c r="A36" s="0" t="str">
        <f aca="false">IF(Consolidated!B39="","",Consolidated!B39&amp;"|"&amp;TEXT(Consolidated!C39,"yyyymmdd")&amp;"|"&amp;HOUR(Consolidated!D39))</f>
        <v>Auto|20260702|13</v>
      </c>
      <c r="B36" s="0" t="str">
        <f aca="false">IF(Consolidated!B39="","",SUBSTITUTE(SUBSTITUTE(TEXT(Consolidated!D39,"h:mm AM/PM")," AM","a")," PM","p")&amp;IF(Consolidated!E39="",""," "&amp;Consolidated!E39)&amp;IF(Consolidated!H39="",""," "&amp;Consolidated!H39))</f>
        <v>1:00p WFO</v>
      </c>
      <c r="C36" s="0" t="str">
        <f aca="false">IF(Consolidated!B39="","",Consolidated!B39&amp;"|"&amp;TEXT(Consolidated!C39,"yyyymmdd"))</f>
        <v>Auto|20260702</v>
      </c>
      <c r="D36" s="0" t="str">
        <f aca="false">IF(Consolidated!I39="","",Consolidated!I39)</f>
        <v/>
      </c>
    </row>
    <row r="37" customFormat="false" ht="15" hidden="false" customHeight="false" outlineLevel="0" collapsed="false">
      <c r="A37" s="0" t="str">
        <f aca="false">IF(Consolidated!B40="","",Consolidated!B40&amp;"|"&amp;TEXT(Consolidated!C40,"yyyymmdd")&amp;"|"&amp;HOUR(Consolidated!D40))</f>
        <v>Auto|20260702|17</v>
      </c>
      <c r="B37" s="0" t="str">
        <f aca="false">IF(Consolidated!B40="","",SUBSTITUTE(SUBSTITUTE(TEXT(Consolidated!D40,"h:mm AM/PM")," AM","a")," PM","p")&amp;IF(Consolidated!E40="",""," "&amp;Consolidated!E40)&amp;IF(Consolidated!H40="",""," "&amp;Consolidated!H40))</f>
        <v>5:00p Blitz</v>
      </c>
      <c r="C37" s="0" t="str">
        <f aca="false">IF(Consolidated!B40="","",Consolidated!B40&amp;"|"&amp;TEXT(Consolidated!C40,"yyyymmdd"))</f>
        <v>Auto|20260702</v>
      </c>
      <c r="D37" s="0" t="str">
        <f aca="false">IF(Consolidated!I40="","",Consolidated!I40)</f>
        <v/>
      </c>
    </row>
    <row r="38" customFormat="false" ht="15" hidden="false" customHeight="false" outlineLevel="0" collapsed="false">
      <c r="A38" s="0" t="str">
        <f aca="false">IF(Consolidated!B41="","",Consolidated!B41&amp;"|"&amp;TEXT(Consolidated!C41,"yyyymmdd")&amp;"|"&amp;HOUR(Consolidated!D41))</f>
        <v>Auto|20260702|20</v>
      </c>
      <c r="B38" s="0" t="str">
        <f aca="false">IF(Consolidated!B41="","",SUBSTITUTE(SUBSTITUTE(TEXT(Consolidated!D41,"h:mm AM/PM")," AM","a")," PM","p")&amp;IF(Consolidated!E41="",""," "&amp;Consolidated!E41)&amp;IF(Consolidated!H41="",""," "&amp;Consolidated!H41))</f>
        <v>8:00p TSC (All)</v>
      </c>
      <c r="C38" s="0" t="str">
        <f aca="false">IF(Consolidated!B41="","",Consolidated!B41&amp;"|"&amp;TEXT(Consolidated!C41,"yyyymmdd"))</f>
        <v>Auto|20260702</v>
      </c>
      <c r="D38" s="0" t="str">
        <f aca="false">IF(Consolidated!I41="","",Consolidated!I41)</f>
        <v/>
      </c>
    </row>
    <row r="39" customFormat="false" ht="15" hidden="false" customHeight="false" outlineLevel="0" collapsed="false">
      <c r="A39" s="0" t="str">
        <f aca="false">IF(Consolidated!B42="","",Consolidated!B42&amp;"|"&amp;TEXT(Consolidated!C42,"yyyymmdd")&amp;"|"&amp;HOUR(Consolidated!D42))</f>
        <v>BE|20260702|8</v>
      </c>
      <c r="B39" s="0" t="str">
        <f aca="false">IF(Consolidated!B42="","",SUBSTITUTE(SUBSTITUTE(TEXT(Consolidated!D42,"h:mm AM/PM")," AM","a")," PM","p")&amp;IF(Consolidated!E42="",""," "&amp;Consolidated!E42)&amp;IF(Consolidated!H42="",""," "&amp;Consolidated!H42))</f>
        <v>8:30a E</v>
      </c>
      <c r="C39" s="0" t="str">
        <f aca="false">IF(Consolidated!B42="","",Consolidated!B42&amp;"|"&amp;TEXT(Consolidated!C42,"yyyymmdd"))</f>
        <v>BE|20260702</v>
      </c>
      <c r="D39" s="0" t="str">
        <f aca="false">IF(Consolidated!I42="","",Consolidated!I42)</f>
        <v/>
      </c>
    </row>
    <row r="40" customFormat="false" ht="15" hidden="false" customHeight="false" outlineLevel="0" collapsed="false">
      <c r="A40" s="0" t="str">
        <f aca="false">IF(Consolidated!B43="","",Consolidated!B43&amp;"|"&amp;TEXT(Consolidated!C43,"yyyymmdd")&amp;"|"&amp;HOUR(Consolidated!D43))</f>
        <v>BE|20260702|11</v>
      </c>
      <c r="B40" s="0" t="str">
        <f aca="false">IF(Consolidated!B43="","",SUBSTITUTE(SUBSTITUTE(TEXT(Consolidated!D43,"h:mm AM/PM")," AM","a")," PM","p")&amp;IF(Consolidated!E43="",""," "&amp;Consolidated!E43)&amp;IF(Consolidated!H43="",""," "&amp;Consolidated!H43))</f>
        <v>11:00a C-M-P</v>
      </c>
      <c r="C40" s="0" t="str">
        <f aca="false">IF(Consolidated!B43="","",Consolidated!B43&amp;"|"&amp;TEXT(Consolidated!C43,"yyyymmdd"))</f>
        <v>BE|20260702</v>
      </c>
      <c r="D40" s="0" t="str">
        <f aca="false">IF(Consolidated!I43="","",Consolidated!I43)</f>
        <v/>
      </c>
    </row>
    <row r="41" customFormat="false" ht="15" hidden="false" customHeight="false" outlineLevel="0" collapsed="false">
      <c r="A41" s="0" t="str">
        <f aca="false">IF(Consolidated!B44="","",Consolidated!B44&amp;"|"&amp;TEXT(Consolidated!C44,"yyyymmdd")&amp;"|"&amp;HOUR(Consolidated!D44))</f>
        <v>BE|20260702|14</v>
      </c>
      <c r="B41" s="0" t="str">
        <f aca="false">IF(Consolidated!B44="","",SUBSTITUTE(SUBSTITUTE(TEXT(Consolidated!D44,"h:mm AM/PM")," AM","a")," PM","p")&amp;IF(Consolidated!E44="",""," "&amp;Consolidated!E44)&amp;IF(Consolidated!H44="",""," "&amp;Consolidated!H44))</f>
        <v>2:00p WFO</v>
      </c>
      <c r="C41" s="0" t="str">
        <f aca="false">IF(Consolidated!B44="","",Consolidated!B44&amp;"|"&amp;TEXT(Consolidated!C44,"yyyymmdd"))</f>
        <v>BE|20260702</v>
      </c>
      <c r="D41" s="0" t="str">
        <f aca="false">IF(Consolidated!I44="","",Consolidated!I44)</f>
        <v/>
      </c>
    </row>
    <row r="42" customFormat="false" ht="15" hidden="false" customHeight="false" outlineLevel="0" collapsed="false">
      <c r="A42" s="0" t="str">
        <f aca="false">IF(Consolidated!B45="","",Consolidated!B45&amp;"|"&amp;TEXT(Consolidated!C45,"yyyymmdd")&amp;"|"&amp;HOUR(Consolidated!D45))</f>
        <v>BE|20260702|17</v>
      </c>
      <c r="B42" s="0" t="str">
        <f aca="false">IF(Consolidated!B45="","",SUBSTITUTE(SUBSTITUTE(TEXT(Consolidated!D45,"h:mm AM/PM")," AM","a")," PM","p")&amp;IF(Consolidated!E45="",""," "&amp;Consolidated!E45)&amp;IF(Consolidated!H45="",""," "&amp;Consolidated!H45))</f>
        <v>5:00p Blitz</v>
      </c>
      <c r="C42" s="0" t="str">
        <f aca="false">IF(Consolidated!B45="","",Consolidated!B45&amp;"|"&amp;TEXT(Consolidated!C45,"yyyymmdd"))</f>
        <v>BE|20260702</v>
      </c>
      <c r="D42" s="0" t="str">
        <f aca="false">IF(Consolidated!I45="","",Consolidated!I45)</f>
        <v/>
      </c>
    </row>
    <row r="43" customFormat="false" ht="15" hidden="false" customHeight="false" outlineLevel="0" collapsed="false">
      <c r="A43" s="0" t="str">
        <f aca="false">IF(Consolidated!B46="","",Consolidated!B46&amp;"|"&amp;TEXT(Consolidated!C46,"yyyymmdd")&amp;"|"&amp;HOUR(Consolidated!D46))</f>
        <v>BE|20260702|20</v>
      </c>
      <c r="B43" s="0" t="str">
        <f aca="false">IF(Consolidated!B46="","",SUBSTITUTE(SUBSTITUTE(TEXT(Consolidated!D46,"h:mm AM/PM")," AM","a")," PM","p")&amp;IF(Consolidated!E46="",""," "&amp;Consolidated!E46)&amp;IF(Consolidated!H46="",""," "&amp;Consolidated!H46))</f>
        <v>8:00p TSC (All)</v>
      </c>
      <c r="C43" s="0" t="str">
        <f aca="false">IF(Consolidated!B46="","",Consolidated!B46&amp;"|"&amp;TEXT(Consolidated!C46,"yyyymmdd"))</f>
        <v>BE|20260702</v>
      </c>
      <c r="D43" s="0" t="str">
        <f aca="false">IF(Consolidated!I46="","",Consolidated!I46)</f>
        <v/>
      </c>
    </row>
    <row r="44" customFormat="false" ht="15" hidden="false" customHeight="false" outlineLevel="0" collapsed="false">
      <c r="A44" s="0" t="str">
        <f aca="false">IF(Consolidated!B47="","",Consolidated!B47&amp;"|"&amp;TEXT(Consolidated!C47,"yyyymmdd")&amp;"|"&amp;HOUR(Consolidated!D47))</f>
        <v>Branch Central|20260702|12</v>
      </c>
      <c r="B44" s="0" t="str">
        <f aca="false">IF(Consolidated!B47="","",SUBSTITUTE(SUBSTITUTE(TEXT(Consolidated!D47,"h:mm AM/PM")," AM","a")," PM","p")&amp;IF(Consolidated!E47="",""," "&amp;Consolidated!E47)&amp;IF(Consolidated!H47="",""," "&amp;Consolidated!H47))</f>
        <v>12:30p E-C 1s &amp; Slow</v>
      </c>
      <c r="C44" s="0" t="str">
        <f aca="false">IF(Consolidated!B47="","",Consolidated!B47&amp;"|"&amp;TEXT(Consolidated!C47,"yyyymmdd"))</f>
        <v>Branch Central|20260702</v>
      </c>
      <c r="D44" s="0" t="str">
        <f aca="false">IF(Consolidated!I47="","",Consolidated!I47)</f>
        <v/>
      </c>
    </row>
    <row r="45" customFormat="false" ht="15" hidden="false" customHeight="false" outlineLevel="0" collapsed="false">
      <c r="A45" s="0" t="str">
        <f aca="false">IF(Consolidated!B48="","",Consolidated!B48&amp;"|"&amp;TEXT(Consolidated!C48,"yyyymmdd")&amp;"|"&amp;HOUR(Consolidated!D48))</f>
        <v>Card|20260702|8</v>
      </c>
      <c r="B45" s="0" t="str">
        <f aca="false">IF(Consolidated!B48="","",SUBSTITUTE(SUBSTITUTE(TEXT(Consolidated!D48,"h:mm AM/PM")," AM","a")," PM","p")&amp;IF(Consolidated!E48="",""," "&amp;Consolidated!E48)&amp;IF(Consolidated!H48="",""," "&amp;Consolidated!H48))</f>
        <v>8:00a</v>
      </c>
      <c r="C45" s="0" t="str">
        <f aca="false">IF(Consolidated!B48="","",Consolidated!B48&amp;"|"&amp;TEXT(Consolidated!C48,"yyyymmdd"))</f>
        <v>Card|20260702</v>
      </c>
      <c r="D45" s="0" t="str">
        <f aca="false">IF(Consolidated!I48="","",Consolidated!I48)</f>
        <v/>
      </c>
    </row>
    <row r="46" customFormat="false" ht="15" hidden="false" customHeight="false" outlineLevel="0" collapsed="false">
      <c r="A46" s="0" t="str">
        <f aca="false">IF(Consolidated!B49="","",Consolidated!B49&amp;"|"&amp;TEXT(Consolidated!C49,"yyyymmdd")&amp;"|"&amp;HOUR(Consolidated!D49))</f>
        <v>Card|20260702|12</v>
      </c>
      <c r="B46" s="0" t="str">
        <f aca="false">IF(Consolidated!B49="","",SUBSTITUTE(SUBSTITUTE(TEXT(Consolidated!D49,"h:mm AM/PM")," AM","a")," PM","p")&amp;IF(Consolidated!E49="",""," "&amp;Consolidated!E49)&amp;IF(Consolidated!H49="",""," "&amp;Consolidated!H49))</f>
        <v>12:00p</v>
      </c>
      <c r="C46" s="0" t="str">
        <f aca="false">IF(Consolidated!B49="","",Consolidated!B49&amp;"|"&amp;TEXT(Consolidated!C49,"yyyymmdd"))</f>
        <v>Card|20260702</v>
      </c>
      <c r="D46" s="0" t="str">
        <f aca="false">IF(Consolidated!I49="","",Consolidated!I49)</f>
        <v/>
      </c>
    </row>
    <row r="47" customFormat="false" ht="15" hidden="false" customHeight="false" outlineLevel="0" collapsed="false">
      <c r="A47" s="0" t="str">
        <f aca="false">IF(Consolidated!B50="","",Consolidated!B50&amp;"|"&amp;TEXT(Consolidated!C50,"yyyymmdd")&amp;"|"&amp;HOUR(Consolidated!D50))</f>
        <v>Card|20260702|14</v>
      </c>
      <c r="B47" s="0" t="str">
        <f aca="false">IF(Consolidated!B50="","",SUBSTITUTE(SUBSTITUTE(TEXT(Consolidated!D50,"h:mm AM/PM")," AM","a")," PM","p")&amp;IF(Consolidated!E50="",""," "&amp;Consolidated!E50)&amp;IF(Consolidated!H50="",""," "&amp;Consolidated!H50))</f>
        <v>2:00p ASAP</v>
      </c>
      <c r="C47" s="0" t="str">
        <f aca="false">IF(Consolidated!B50="","",Consolidated!B50&amp;"|"&amp;TEXT(Consolidated!C50,"yyyymmdd"))</f>
        <v>Card|20260702</v>
      </c>
      <c r="D47" s="0" t="str">
        <f aca="false">IF(Consolidated!I50="","",Consolidated!I50)</f>
        <v/>
      </c>
    </row>
    <row r="48" customFormat="false" ht="15" hidden="false" customHeight="false" outlineLevel="0" collapsed="false">
      <c r="A48" s="0" t="str">
        <f aca="false">IF(Consolidated!B51="","",Consolidated!B51&amp;"|"&amp;TEXT(Consolidated!C51,"yyyymmdd")&amp;"|"&amp;HOUR(Consolidated!D51))</f>
        <v>Card|20260702|16</v>
      </c>
      <c r="B48" s="0" t="str">
        <f aca="false">IF(Consolidated!B51="","",SUBSTITUTE(SUBSTITUTE(TEXT(Consolidated!D51,"h:mm AM/PM")," AM","a")," PM","p")&amp;IF(Consolidated!E51="",""," "&amp;Consolidated!E51)&amp;IF(Consolidated!H51="",""," "&amp;Consolidated!H51))</f>
        <v>4:00p ASAP</v>
      </c>
      <c r="C48" s="0" t="str">
        <f aca="false">IF(Consolidated!B51="","",Consolidated!B51&amp;"|"&amp;TEXT(Consolidated!C51,"yyyymmdd"))</f>
        <v>Card|20260702</v>
      </c>
      <c r="D48" s="0" t="str">
        <f aca="false">IF(Consolidated!I51="","",Consolidated!I51)</f>
        <v/>
      </c>
    </row>
    <row r="49" customFormat="false" ht="15" hidden="false" customHeight="false" outlineLevel="0" collapsed="false">
      <c r="A49" s="0" t="str">
        <f aca="false">IF(Consolidated!B52="","",Consolidated!B52&amp;"|"&amp;TEXT(Consolidated!C52,"yyyymmdd")&amp;"|"&amp;HOUR(Consolidated!D52))</f>
        <v>Card|20260702|18</v>
      </c>
      <c r="B49" s="0" t="str">
        <f aca="false">IF(Consolidated!B52="","",SUBSTITUTE(SUBSTITUTE(TEXT(Consolidated!D52,"h:mm AM/PM")," AM","a")," PM","p")&amp;IF(Consolidated!E52="",""," "&amp;Consolidated!E52)&amp;IF(Consolidated!H52="",""," "&amp;Consolidated!H52))</f>
        <v>6:00p ASAP</v>
      </c>
      <c r="C49" s="0" t="str">
        <f aca="false">IF(Consolidated!B52="","",Consolidated!B52&amp;"|"&amp;TEXT(Consolidated!C52,"yyyymmdd"))</f>
        <v>Card|20260702</v>
      </c>
      <c r="D49" s="0" t="str">
        <f aca="false">IF(Consolidated!I52="","",Consolidated!I52)</f>
        <v/>
      </c>
    </row>
    <row r="50" customFormat="false" ht="15" hidden="false" customHeight="false" outlineLevel="0" collapsed="false">
      <c r="A50" s="0" t="str">
        <f aca="false">IF(Consolidated!B53="","",Consolidated!B53&amp;"|"&amp;TEXT(Consolidated!C53,"yyyymmdd")&amp;"|"&amp;HOUR(Consolidated!D53))</f>
        <v>FE|20260702|8</v>
      </c>
      <c r="B50" s="0" t="str">
        <f aca="false">IF(Consolidated!B53="","",SUBSTITUTE(SUBSTITUTE(TEXT(Consolidated!D53,"h:mm AM/PM")," AM","a")," PM","p")&amp;IF(Consolidated!E53="",""," "&amp;Consolidated!E53)&amp;IF(Consolidated!H53="",""," "&amp;Consolidated!H53))</f>
        <v>8:30a E</v>
      </c>
      <c r="C50" s="0" t="str">
        <f aca="false">IF(Consolidated!B53="","",Consolidated!B53&amp;"|"&amp;TEXT(Consolidated!C53,"yyyymmdd"))</f>
        <v>FE|20260702</v>
      </c>
      <c r="D50" s="0" t="str">
        <f aca="false">IF(Consolidated!I53="","",Consolidated!I53)</f>
        <v/>
      </c>
    </row>
    <row r="51" customFormat="false" ht="15" hidden="false" customHeight="false" outlineLevel="0" collapsed="false">
      <c r="A51" s="0" t="str">
        <f aca="false">IF(Consolidated!B54="","",Consolidated!B54&amp;"|"&amp;TEXT(Consolidated!C54,"yyyymmdd")&amp;"|"&amp;HOUR(Consolidated!D54))</f>
        <v>FE|20260702|11</v>
      </c>
      <c r="B51" s="0" t="str">
        <f aca="false">IF(Consolidated!B54="","",SUBSTITUTE(SUBSTITUTE(TEXT(Consolidated!D54,"h:mm AM/PM")," AM","a")," PM","p")&amp;IF(Consolidated!E54="",""," "&amp;Consolidated!E54)&amp;IF(Consolidated!H54="",""," "&amp;Consolidated!H54))</f>
        <v>11:00a C-M-P</v>
      </c>
      <c r="C51" s="0" t="str">
        <f aca="false">IF(Consolidated!B54="","",Consolidated!B54&amp;"|"&amp;TEXT(Consolidated!C54,"yyyymmdd"))</f>
        <v>FE|20260702</v>
      </c>
      <c r="D51" s="0" t="str">
        <f aca="false">IF(Consolidated!I54="","",Consolidated!I54)</f>
        <v/>
      </c>
    </row>
    <row r="52" customFormat="false" ht="15" hidden="false" customHeight="false" outlineLevel="0" collapsed="false">
      <c r="A52" s="0" t="str">
        <f aca="false">IF(Consolidated!B55="","",Consolidated!B55&amp;"|"&amp;TEXT(Consolidated!C55,"yyyymmdd")&amp;"|"&amp;HOUR(Consolidated!D55))</f>
        <v>FE|20260702|12</v>
      </c>
      <c r="B52" s="0" t="str">
        <f aca="false">IF(Consolidated!B55="","",SUBSTITUTE(SUBSTITUTE(TEXT(Consolidated!D55,"h:mm AM/PM")," AM","a")," PM","p")&amp;IF(Consolidated!E55="",""," "&amp;Consolidated!E55)&amp;IF(Consolidated!H55="",""," "&amp;Consolidated!H55))</f>
        <v>12:30p Branch</v>
      </c>
      <c r="C52" s="0" t="str">
        <f aca="false">IF(Consolidated!B55="","",Consolidated!B55&amp;"|"&amp;TEXT(Consolidated!C55,"yyyymmdd"))</f>
        <v>FE|20260702</v>
      </c>
      <c r="D52" s="0" t="str">
        <f aca="false">IF(Consolidated!I55="","",Consolidated!I55)</f>
        <v/>
      </c>
    </row>
    <row r="53" customFormat="false" ht="15" hidden="false" customHeight="false" outlineLevel="0" collapsed="false">
      <c r="A53" s="0" t="str">
        <f aca="false">IF(Consolidated!B56="","",Consolidated!B56&amp;"|"&amp;TEXT(Consolidated!C56,"yyyymmdd")&amp;"|"&amp;HOUR(Consolidated!D56))</f>
        <v>FE|20260702|13</v>
      </c>
      <c r="B53" s="0" t="str">
        <f aca="false">IF(Consolidated!B56="","",SUBSTITUTE(SUBSTITUTE(TEXT(Consolidated!D56,"h:mm AM/PM")," AM","a")," PM","p")&amp;IF(Consolidated!E56="",""," "&amp;Consolidated!E56)&amp;IF(Consolidated!H56="",""," "&amp;Consolidated!H56))</f>
        <v>1:30p WFO</v>
      </c>
      <c r="C53" s="0" t="str">
        <f aca="false">IF(Consolidated!B56="","",Consolidated!B56&amp;"|"&amp;TEXT(Consolidated!C56,"yyyymmdd"))</f>
        <v>FE|20260702</v>
      </c>
      <c r="D53" s="0" t="str">
        <f aca="false">IF(Consolidated!I56="","",Consolidated!I56)</f>
        <v/>
      </c>
    </row>
    <row r="54" customFormat="false" ht="15" hidden="false" customHeight="false" outlineLevel="0" collapsed="false">
      <c r="A54" s="0" t="str">
        <f aca="false">IF(Consolidated!B57="","",Consolidated!B57&amp;"|"&amp;TEXT(Consolidated!C57,"yyyymmdd")&amp;"|"&amp;HOUR(Consolidated!D57))</f>
        <v>FE|20260702|17</v>
      </c>
      <c r="B54" s="0" t="str">
        <f aca="false">IF(Consolidated!B57="","",SUBSTITUTE(SUBSTITUTE(TEXT(Consolidated!D57,"h:mm AM/PM")," AM","a")," PM","p")&amp;IF(Consolidated!E57="",""," "&amp;Consolidated!E57)&amp;IF(Consolidated!H57="",""," "&amp;Consolidated!H57))</f>
        <v>5:00p Blitz</v>
      </c>
      <c r="C54" s="0" t="str">
        <f aca="false">IF(Consolidated!B57="","",Consolidated!B57&amp;"|"&amp;TEXT(Consolidated!C57,"yyyymmdd"))</f>
        <v>FE|20260702</v>
      </c>
      <c r="D54" s="0" t="str">
        <f aca="false">IF(Consolidated!I57="","",Consolidated!I57)</f>
        <v/>
      </c>
    </row>
    <row r="55" customFormat="false" ht="15" hidden="false" customHeight="false" outlineLevel="0" collapsed="false">
      <c r="A55" s="0" t="str">
        <f aca="false">IF(Consolidated!B58="","",Consolidated!B58&amp;"|"&amp;TEXT(Consolidated!C58,"yyyymmdd")&amp;"|"&amp;HOUR(Consolidated!D58))</f>
        <v>FE|20260702|20</v>
      </c>
      <c r="B55" s="0" t="str">
        <f aca="false">IF(Consolidated!B58="","",SUBSTITUTE(SUBSTITUTE(TEXT(Consolidated!D58,"h:mm AM/PM")," AM","a")," PM","p")&amp;IF(Consolidated!E58="",""," "&amp;Consolidated!E58)&amp;IF(Consolidated!H58="",""," "&amp;Consolidated!H58))</f>
        <v>8:00p TSC (All)</v>
      </c>
      <c r="C55" s="0" t="str">
        <f aca="false">IF(Consolidated!B58="","",Consolidated!B58&amp;"|"&amp;TEXT(Consolidated!C58,"yyyymmdd"))</f>
        <v>FE|20260702</v>
      </c>
      <c r="D55" s="0" t="str">
        <f aca="false">IF(Consolidated!I58="","",Consolidated!I58)</f>
        <v/>
      </c>
    </row>
    <row r="56" customFormat="false" ht="15" hidden="false" customHeight="false" outlineLevel="0" collapsed="false">
      <c r="A56" s="0" t="str">
        <f aca="false">IF(Consolidated!B59="","",Consolidated!B59&amp;"|"&amp;TEXT(Consolidated!C59,"yyyymmdd")&amp;"|"&amp;HOUR(Consolidated!D59))</f>
        <v>Optional Products|20260702|0</v>
      </c>
      <c r="B56" s="0" t="str">
        <f aca="false">IF(Consolidated!B59="","",SUBSTITUTE(SUBSTITUTE(TEXT(Consolidated!D59,"h:mm AM/PM")," AM","a")," PM","p")&amp;IF(Consolidated!E59="",""," "&amp;Consolidated!E59)&amp;IF(Consolidated!H59="",""," "&amp;Consolidated!H59))</f>
        <v>12:00a Third</v>
      </c>
      <c r="C56" s="0" t="str">
        <f aca="false">IF(Consolidated!B59="","",Consolidated!B59&amp;"|"&amp;TEXT(Consolidated!C59,"yyyymmdd"))</f>
        <v>Optional Products|20260702</v>
      </c>
      <c r="D56" s="0" t="str">
        <f aca="false">IF(Consolidated!I59="","",Consolidated!I59)</f>
        <v>Priority Order: Third</v>
      </c>
    </row>
    <row r="57" customFormat="false" ht="15" hidden="false" customHeight="false" outlineLevel="0" collapsed="false">
      <c r="A57" s="0" t="str">
        <f aca="false">IF(Consolidated!B60="","",Consolidated!B60&amp;"|"&amp;TEXT(Consolidated!C60,"yyyymmdd")&amp;"|"&amp;HOUR(Consolidated!D60))</f>
        <v>Repo|20260702|9</v>
      </c>
      <c r="B57" s="0" t="str">
        <f aca="false">IF(Consolidated!B60="","",SUBSTITUTE(SUBSTITUTE(TEXT(Consolidated!D60,"h:mm AM/PM")," AM","a")," PM","p")&amp;IF(Consolidated!E60="",""," "&amp;Consolidated!E60)&amp;IF(Consolidated!H60="",""," "&amp;Consolidated!H60))</f>
        <v>9:00a Repo</v>
      </c>
      <c r="C57" s="0" t="str">
        <f aca="false">IF(Consolidated!B60="","",Consolidated!B60&amp;"|"&amp;TEXT(Consolidated!C60,"yyyymmdd"))</f>
        <v>Repo|20260702</v>
      </c>
      <c r="D57" s="0" t="str">
        <f aca="false">IF(Consolidated!I60="","",Consolidated!I60)</f>
        <v>AM Daily</v>
      </c>
    </row>
    <row r="58" customFormat="false" ht="15" hidden="false" customHeight="false" outlineLevel="0" collapsed="false">
      <c r="A58" s="0" t="str">
        <f aca="false">IF(Consolidated!B61="","",Consolidated!B61&amp;"|"&amp;TEXT(Consolidated!C61,"yyyymmdd")&amp;"|"&amp;HOUR(Consolidated!D61))</f>
        <v>Repo|20260702|10</v>
      </c>
      <c r="B58" s="0" t="str">
        <f aca="false">IF(Consolidated!B61="","",SUBSTITUTE(SUBSTITUTE(TEXT(Consolidated!D61,"h:mm AM/PM")," AM","a")," PM","p")&amp;IF(Consolidated!E61="",""," "&amp;Consolidated!E61)&amp;IF(Consolidated!H61="",""," "&amp;Consolidated!H61))</f>
        <v>10:00a Repo</v>
      </c>
      <c r="C58" s="0" t="str">
        <f aca="false">IF(Consolidated!B61="","",Consolidated!B61&amp;"|"&amp;TEXT(Consolidated!C61,"yyyymmdd"))</f>
        <v>Repo|20260702</v>
      </c>
      <c r="D58" s="0" t="str">
        <f aca="false">IF(Consolidated!I61="","",Consolidated!I61)</f>
        <v/>
      </c>
    </row>
    <row r="59" customFormat="false" ht="15" hidden="false" customHeight="false" outlineLevel="0" collapsed="false">
      <c r="A59" s="0" t="str">
        <f aca="false">IF(Consolidated!B62="","",Consolidated!B62&amp;"|"&amp;TEXT(Consolidated!C62,"yyyymmdd")&amp;"|"&amp;HOUR(Consolidated!D62))</f>
        <v>Repo|20260702|13</v>
      </c>
      <c r="B59" s="0" t="str">
        <f aca="false">IF(Consolidated!B62="","",SUBSTITUTE(SUBSTITUTE(TEXT(Consolidated!D62,"h:mm AM/PM")," AM","a")," PM","p")&amp;IF(Consolidated!E62="",""," "&amp;Consolidated!E62)&amp;IF(Consolidated!H62="",""," "&amp;Consolidated!H62))</f>
        <v>1:00p RP</v>
      </c>
      <c r="C59" s="0" t="str">
        <f aca="false">IF(Consolidated!B62="","",Consolidated!B62&amp;"|"&amp;TEXT(Consolidated!C62,"yyyymmdd"))</f>
        <v>Repo|20260702</v>
      </c>
      <c r="D59" s="0" t="str">
        <f aca="false">IF(Consolidated!I62="","",Consolidated!I62)</f>
        <v/>
      </c>
    </row>
    <row r="60" customFormat="false" ht="15" hidden="false" customHeight="false" outlineLevel="0" collapsed="false">
      <c r="A60" s="0" t="str">
        <f aca="false">IF(Consolidated!B63="","",Consolidated!B63&amp;"|"&amp;TEXT(Consolidated!C63,"yyyymmdd")&amp;"|"&amp;HOUR(Consolidated!D63))</f>
        <v>Repo|20260702|15</v>
      </c>
      <c r="B60" s="0" t="str">
        <f aca="false">IF(Consolidated!B63="","",SUBSTITUTE(SUBSTITUTE(TEXT(Consolidated!D63,"h:mm AM/PM")," AM","a")," PM","p")&amp;IF(Consolidated!E63="",""," "&amp;Consolidated!E63)&amp;IF(Consolidated!H63="",""," "&amp;Consolidated!H63))</f>
        <v>3:00p Repo</v>
      </c>
      <c r="C60" s="0" t="str">
        <f aca="false">IF(Consolidated!B63="","",Consolidated!B63&amp;"|"&amp;TEXT(Consolidated!C63,"yyyymmdd"))</f>
        <v>Repo|20260702</v>
      </c>
      <c r="D60" s="0" t="str">
        <f aca="false">IF(Consolidated!I63="","",Consolidated!I63)</f>
        <v/>
      </c>
    </row>
    <row r="61" customFormat="false" ht="15" hidden="false" customHeight="false" outlineLevel="0" collapsed="false">
      <c r="A61" s="0" t="str">
        <f aca="false">IF(Consolidated!B64="","",Consolidated!B64&amp;"|"&amp;TEXT(Consolidated!C64,"yyyymmdd")&amp;"|"&amp;HOUR(Consolidated!D64))</f>
        <v>Card|20260703|8</v>
      </c>
      <c r="B61" s="0" t="str">
        <f aca="false">IF(Consolidated!B64="","",SUBSTITUTE(SUBSTITUTE(TEXT(Consolidated!D64,"h:mm AM/PM")," AM","a")," PM","p")&amp;IF(Consolidated!E64="",""," "&amp;Consolidated!E64)&amp;IF(Consolidated!H64="",""," "&amp;Consolidated!H64))</f>
        <v>8:00a</v>
      </c>
      <c r="C61" s="0" t="str">
        <f aca="false">IF(Consolidated!B64="","",Consolidated!B64&amp;"|"&amp;TEXT(Consolidated!C64,"yyyymmdd"))</f>
        <v>Card|20260703</v>
      </c>
      <c r="D61" s="0" t="str">
        <f aca="false">IF(Consolidated!I64="","",Consolidated!I64)</f>
        <v/>
      </c>
    </row>
    <row r="62" customFormat="false" ht="15" hidden="false" customHeight="false" outlineLevel="0" collapsed="false">
      <c r="A62" s="0" t="str">
        <f aca="false">IF(Consolidated!B65="","",Consolidated!B65&amp;"|"&amp;TEXT(Consolidated!C65,"yyyymmdd")&amp;"|"&amp;HOUR(Consolidated!D65))</f>
        <v>Card|20260703|12</v>
      </c>
      <c r="B62" s="0" t="str">
        <f aca="false">IF(Consolidated!B65="","",SUBSTITUTE(SUBSTITUTE(TEXT(Consolidated!D65,"h:mm AM/PM")," AM","a")," PM","p")&amp;IF(Consolidated!E65="",""," "&amp;Consolidated!E65)&amp;IF(Consolidated!H65="",""," "&amp;Consolidated!H65))</f>
        <v>12:00p</v>
      </c>
      <c r="C62" s="0" t="str">
        <f aca="false">IF(Consolidated!B65="","",Consolidated!B65&amp;"|"&amp;TEXT(Consolidated!C65,"yyyymmdd"))</f>
        <v>Card|20260703</v>
      </c>
      <c r="D62" s="0" t="str">
        <f aca="false">IF(Consolidated!I65="","",Consolidated!I65)</f>
        <v/>
      </c>
    </row>
    <row r="63" customFormat="false" ht="15" hidden="false" customHeight="false" outlineLevel="0" collapsed="false">
      <c r="A63" s="0" t="str">
        <f aca="false">IF(Consolidated!B66="","",Consolidated!B66&amp;"|"&amp;TEXT(Consolidated!C66,"yyyymmdd")&amp;"|"&amp;HOUR(Consolidated!D66))</f>
        <v>Card|20260703|14</v>
      </c>
      <c r="B63" s="0" t="str">
        <f aca="false">IF(Consolidated!B66="","",SUBSTITUTE(SUBSTITUTE(TEXT(Consolidated!D66,"h:mm AM/PM")," AM","a")," PM","p")&amp;IF(Consolidated!E66="",""," "&amp;Consolidated!E66)&amp;IF(Consolidated!H66="",""," "&amp;Consolidated!H66))</f>
        <v>2:00p ASAP</v>
      </c>
      <c r="C63" s="0" t="str">
        <f aca="false">IF(Consolidated!B66="","",Consolidated!B66&amp;"|"&amp;TEXT(Consolidated!C66,"yyyymmdd"))</f>
        <v>Card|20260703</v>
      </c>
      <c r="D63" s="0" t="str">
        <f aca="false">IF(Consolidated!I66="","",Consolidated!I66)</f>
        <v/>
      </c>
    </row>
    <row r="64" customFormat="false" ht="15" hidden="false" customHeight="false" outlineLevel="0" collapsed="false">
      <c r="A64" s="0" t="str">
        <f aca="false">IF(Consolidated!B67="","",Consolidated!B67&amp;"|"&amp;TEXT(Consolidated!C67,"yyyymmdd")&amp;"|"&amp;HOUR(Consolidated!D67))</f>
        <v>Card|20260703|16</v>
      </c>
      <c r="B64" s="0" t="str">
        <f aca="false">IF(Consolidated!B67="","",SUBSTITUTE(SUBSTITUTE(TEXT(Consolidated!D67,"h:mm AM/PM")," AM","a")," PM","p")&amp;IF(Consolidated!E67="",""," "&amp;Consolidated!E67)&amp;IF(Consolidated!H67="",""," "&amp;Consolidated!H67))</f>
        <v>4:00p ASAP</v>
      </c>
      <c r="C64" s="0" t="str">
        <f aca="false">IF(Consolidated!B67="","",Consolidated!B67&amp;"|"&amp;TEXT(Consolidated!C67,"yyyymmdd"))</f>
        <v>Card|20260703</v>
      </c>
      <c r="D64" s="0" t="str">
        <f aca="false">IF(Consolidated!I67="","",Consolidated!I67)</f>
        <v/>
      </c>
    </row>
    <row r="65" customFormat="false" ht="15" hidden="false" customHeight="false" outlineLevel="0" collapsed="false">
      <c r="A65" s="0" t="str">
        <f aca="false">IF(Consolidated!B68="","",Consolidated!B68&amp;"|"&amp;TEXT(Consolidated!C68,"yyyymmdd")&amp;"|"&amp;HOUR(Consolidated!D68))</f>
        <v>Card|20260703|18</v>
      </c>
      <c r="B65" s="0" t="str">
        <f aca="false">IF(Consolidated!B68="","",SUBSTITUTE(SUBSTITUTE(TEXT(Consolidated!D68,"h:mm AM/PM")," AM","a")," PM","p")&amp;IF(Consolidated!E68="",""," "&amp;Consolidated!E68)&amp;IF(Consolidated!H68="",""," "&amp;Consolidated!H68))</f>
        <v>6:00p ASAP</v>
      </c>
      <c r="C65" s="0" t="str">
        <f aca="false">IF(Consolidated!B68="","",Consolidated!B68&amp;"|"&amp;TEXT(Consolidated!C68,"yyyymmdd"))</f>
        <v>Card|20260703</v>
      </c>
      <c r="D65" s="0" t="str">
        <f aca="false">IF(Consolidated!I68="","",Consolidated!I68)</f>
        <v/>
      </c>
    </row>
    <row r="66" customFormat="false" ht="15" hidden="false" customHeight="false" outlineLevel="0" collapsed="false">
      <c r="A66" s="0" t="str">
        <f aca="false">IF(Consolidated!B69="","",Consolidated!B69&amp;"|"&amp;TEXT(Consolidated!C69,"yyyymmdd")&amp;"|"&amp;HOUR(Consolidated!D69))</f>
        <v>Card|20260703|12</v>
      </c>
      <c r="B66" s="0" t="str">
        <f aca="false">IF(Consolidated!B69="","",SUBSTITUTE(SUBSTITUTE(TEXT(Consolidated!D69,"h:mm AM/PM")," AM","a")," PM","p")&amp;IF(Consolidated!E69="",""," "&amp;Consolidated!E69)&amp;IF(Consolidated!H69="",""," "&amp;Consolidated!H69))</f>
        <v>12:30p</v>
      </c>
      <c r="C66" s="0" t="str">
        <f aca="false">IF(Consolidated!B69="","",Consolidated!B69&amp;"|"&amp;TEXT(Consolidated!C69,"yyyymmdd"))</f>
        <v>Card|20260703</v>
      </c>
      <c r="D66" s="0" t="str">
        <f aca="false">IF(Consolidated!I69="","",Consolidated!I69)</f>
        <v/>
      </c>
    </row>
    <row r="67" customFormat="false" ht="15" hidden="false" customHeight="false" outlineLevel="0" collapsed="false">
      <c r="A67" s="0" t="str">
        <f aca="false">IF(Consolidated!B70="","",Consolidated!B70&amp;"|"&amp;TEXT(Consolidated!C70,"yyyymmdd")&amp;"|"&amp;HOUR(Consolidated!D70))</f>
        <v>Card|20260703|6</v>
      </c>
      <c r="B67" s="0" t="str">
        <f aca="false">IF(Consolidated!B70="","",SUBSTITUTE(SUBSTITUTE(TEXT(Consolidated!D70,"h:mm AM/PM")," AM","a")," PM","p")&amp;IF(Consolidated!E70="",""," "&amp;Consolidated!E70)&amp;IF(Consolidated!H70="",""," "&amp;Consolidated!H70))</f>
        <v>6:30a</v>
      </c>
      <c r="C67" s="0" t="str">
        <f aca="false">IF(Consolidated!B70="","",Consolidated!B70&amp;"|"&amp;TEXT(Consolidated!C70,"yyyymmdd"))</f>
        <v>Card|20260703</v>
      </c>
      <c r="D67" s="0" t="str">
        <f aca="false">IF(Consolidated!I70="","",Consolidated!I70)</f>
        <v/>
      </c>
    </row>
    <row r="68" customFormat="false" ht="15" hidden="false" customHeight="false" outlineLevel="0" collapsed="false">
      <c r="A68" s="0" t="str">
        <f aca="false">IF(Consolidated!B71="","",Consolidated!B71&amp;"|"&amp;TEXT(Consolidated!C71,"yyyymmdd")&amp;"|"&amp;HOUR(Consolidated!D71))</f>
        <v>Optional Products|20260703|0</v>
      </c>
      <c r="B68" s="0" t="str">
        <f aca="false">IF(Consolidated!B71="","",SUBSTITUTE(SUBSTITUTE(TEXT(Consolidated!D71,"h:mm AM/PM")," AM","a")," PM","p")&amp;IF(Consolidated!E71="",""," "&amp;Consolidated!E71)&amp;IF(Consolidated!H71="",""," "&amp;Consolidated!H71))</f>
        <v>12:00a</v>
      </c>
      <c r="C68" s="0" t="str">
        <f aca="false">IF(Consolidated!B71="","",Consolidated!B71&amp;"|"&amp;TEXT(Consolidated!C71,"yyyymmdd"))</f>
        <v>Optional Products|20260703</v>
      </c>
      <c r="D68" s="0" t="str">
        <f aca="false">IF(Consolidated!I71="","",Consolidated!I71)</f>
        <v>Independence Day (Observed)</v>
      </c>
    </row>
    <row r="69" customFormat="false" ht="15" hidden="false" customHeight="false" outlineLevel="0" collapsed="false">
      <c r="A69" s="0" t="str">
        <f aca="false">IF(Consolidated!B72="","",Consolidated!B72&amp;"|"&amp;TEXT(Consolidated!C72,"yyyymmdd")&amp;"|"&amp;HOUR(Consolidated!D72))</f>
        <v>Branch Vendor|20260704|10</v>
      </c>
      <c r="B69" s="0" t="str">
        <f aca="false">IF(Consolidated!B72="","",SUBSTITUTE(SUBSTITUTE(TEXT(Consolidated!D72,"h:mm AM/PM")," AM","a")," PM","p")&amp;IF(Consolidated!E72="",""," "&amp;Consolidated!E72)&amp;IF(Consolidated!H72="",""," "&amp;Consolidated!H72))</f>
        <v>10:00a Vendor</v>
      </c>
      <c r="C69" s="0" t="str">
        <f aca="false">IF(Consolidated!B72="","",Consolidated!B72&amp;"|"&amp;TEXT(Consolidated!C72,"yyyymmdd"))</f>
        <v>Branch Vendor|20260704</v>
      </c>
      <c r="D69" s="0" t="str">
        <f aca="false">IF(Consolidated!I72="","",Consolidated!I72)</f>
        <v/>
      </c>
    </row>
    <row r="70" customFormat="false" ht="15" hidden="false" customHeight="false" outlineLevel="0" collapsed="false">
      <c r="A70" s="0" t="str">
        <f aca="false">IF(Consolidated!B73="","",Consolidated!B73&amp;"|"&amp;TEXT(Consolidated!C73,"yyyymmdd")&amp;"|"&amp;HOUR(Consolidated!D73))</f>
        <v>Card|20260704|12</v>
      </c>
      <c r="B70" s="0" t="str">
        <f aca="false">IF(Consolidated!B73="","",SUBSTITUTE(SUBSTITUTE(TEXT(Consolidated!D73,"h:mm AM/PM")," AM","a")," PM","p")&amp;IF(Consolidated!E73="",""," "&amp;Consolidated!E73)&amp;IF(Consolidated!H73="",""," "&amp;Consolidated!H73))</f>
        <v>12:30p</v>
      </c>
      <c r="C70" s="0" t="str">
        <f aca="false">IF(Consolidated!B73="","",Consolidated!B73&amp;"|"&amp;TEXT(Consolidated!C73,"yyyymmdd"))</f>
        <v>Card|20260704</v>
      </c>
      <c r="D70" s="0" t="str">
        <f aca="false">IF(Consolidated!I73="","",Consolidated!I73)</f>
        <v>Constant</v>
      </c>
    </row>
    <row r="71" customFormat="false" ht="15" hidden="false" customHeight="false" outlineLevel="0" collapsed="false">
      <c r="A71" s="0" t="str">
        <f aca="false">IF(Consolidated!B74="","",Consolidated!B74&amp;"|"&amp;TEXT(Consolidated!C74,"yyyymmdd")&amp;"|"&amp;HOUR(Consolidated!D74))</f>
        <v>Card|20260704|6</v>
      </c>
      <c r="B71" s="0" t="str">
        <f aca="false">IF(Consolidated!B74="","",SUBSTITUTE(SUBSTITUTE(TEXT(Consolidated!D74,"h:mm AM/PM")," AM","a")," PM","p")&amp;IF(Consolidated!E74="",""," "&amp;Consolidated!E74)&amp;IF(Consolidated!H74="",""," "&amp;Consolidated!H74))</f>
        <v>6:30a</v>
      </c>
      <c r="C71" s="0" t="str">
        <f aca="false">IF(Consolidated!B74="","",Consolidated!B74&amp;"|"&amp;TEXT(Consolidated!C74,"yyyymmdd"))</f>
        <v>Card|20260704</v>
      </c>
      <c r="D71" s="0" t="str">
        <f aca="false">IF(Consolidated!I74="","",Consolidated!I74)</f>
        <v/>
      </c>
    </row>
    <row r="72" customFormat="false" ht="15" hidden="false" customHeight="false" outlineLevel="0" collapsed="false">
      <c r="A72" s="0" t="str">
        <f aca="false">IF(Consolidated!B75="","",Consolidated!B75&amp;"|"&amp;TEXT(Consolidated!C75,"yyyymmdd")&amp;"|"&amp;HOUR(Consolidated!D75))</f>
        <v>Card|20260705|12</v>
      </c>
      <c r="B72" s="0" t="str">
        <f aca="false">IF(Consolidated!B75="","",SUBSTITUTE(SUBSTITUTE(TEXT(Consolidated!D75,"h:mm AM/PM")," AM","a")," PM","p")&amp;IF(Consolidated!E75="",""," "&amp;Consolidated!E75)&amp;IF(Consolidated!H75="",""," "&amp;Consolidated!H75))</f>
        <v>12:30p</v>
      </c>
      <c r="C72" s="0" t="str">
        <f aca="false">IF(Consolidated!B75="","",Consolidated!B75&amp;"|"&amp;TEXT(Consolidated!C75,"yyyymmdd"))</f>
        <v>Card|20260705</v>
      </c>
      <c r="D72" s="0" t="str">
        <f aca="false">IF(Consolidated!I75="","",Consolidated!I75)</f>
        <v/>
      </c>
    </row>
    <row r="73" customFormat="false" ht="15" hidden="false" customHeight="false" outlineLevel="0" collapsed="false">
      <c r="A73" s="0" t="str">
        <f aca="false">IF(Consolidated!B76="","",Consolidated!B76&amp;"|"&amp;TEXT(Consolidated!C76,"yyyymmdd")&amp;"|"&amp;HOUR(Consolidated!D76))</f>
        <v>Card|20260705|6</v>
      </c>
      <c r="B73" s="0" t="str">
        <f aca="false">IF(Consolidated!B76="","",SUBSTITUTE(SUBSTITUTE(TEXT(Consolidated!D76,"h:mm AM/PM")," AM","a")," PM","p")&amp;IF(Consolidated!E76="",""," "&amp;Consolidated!E76)&amp;IF(Consolidated!H76="",""," "&amp;Consolidated!H76))</f>
        <v>6:30a</v>
      </c>
      <c r="C73" s="0" t="str">
        <f aca="false">IF(Consolidated!B76="","",Consolidated!B76&amp;"|"&amp;TEXT(Consolidated!C76,"yyyymmdd"))</f>
        <v>Card|20260705</v>
      </c>
      <c r="D73" s="0" t="str">
        <f aca="false">IF(Consolidated!I76="","",Consolidated!I76)</f>
        <v/>
      </c>
    </row>
    <row r="74" customFormat="false" ht="15" hidden="false" customHeight="false" outlineLevel="0" collapsed="false">
      <c r="A74" s="0" t="str">
        <f aca="false">IF(Consolidated!B77="","",Consolidated!B77&amp;"|"&amp;TEXT(Consolidated!C77,"yyyymmdd")&amp;"|"&amp;HOUR(Consolidated!D77))</f>
        <v>ARC|20260706|11</v>
      </c>
      <c r="B74" s="0" t="str">
        <f aca="false">IF(Consolidated!B77="","",SUBSTITUTE(SUBSTITUTE(TEXT(Consolidated!D77,"h:mm AM/PM")," AM","a")," PM","p")&amp;IF(Consolidated!E77="",""," "&amp;Consolidated!E77)&amp;IF(Consolidated!H77="",""," "&amp;Consolidated!H77))</f>
        <v>11:00a NCs</v>
      </c>
      <c r="C74" s="0" t="str">
        <f aca="false">IF(Consolidated!B77="","",Consolidated!B77&amp;"|"&amp;TEXT(Consolidated!C77,"yyyymmdd"))</f>
        <v>ARC|20260706</v>
      </c>
      <c r="D74" s="0" t="str">
        <f aca="false">IF(Consolidated!I77="","",Consolidated!I77)</f>
        <v>Hit Priority  / Strat 7 / APP</v>
      </c>
    </row>
    <row r="75" customFormat="false" ht="15" hidden="false" customHeight="false" outlineLevel="0" collapsed="false">
      <c r="A75" s="0" t="str">
        <f aca="false">IF(Consolidated!B78="","",Consolidated!B78&amp;"|"&amp;TEXT(Consolidated!C78,"yyyymmdd")&amp;"|"&amp;HOUR(Consolidated!D78))</f>
        <v>ARC|20260706|15</v>
      </c>
      <c r="B75" s="0" t="str">
        <f aca="false">IF(Consolidated!B78="","",SUBSTITUTE(SUBSTITUTE(TEXT(Consolidated!D78,"h:mm AM/PM")," AM","a")," PM","p")&amp;IF(Consolidated!E78="",""," "&amp;Consolidated!E78)&amp;IF(Consolidated!H78="",""," "&amp;Consolidated!H78))</f>
        <v>3:00p All</v>
      </c>
      <c r="C75" s="0" t="str">
        <f aca="false">IF(Consolidated!B78="","",Consolidated!B78&amp;"|"&amp;TEXT(Consolidated!C78,"yyyymmdd"))</f>
        <v>ARC|20260706</v>
      </c>
      <c r="D75" s="0" t="str">
        <f aca="false">IF(Consolidated!I78="","",Consolidated!I78)</f>
        <v>Hit Priority  / Strat 7 / APP</v>
      </c>
    </row>
    <row r="76" customFormat="false" ht="15" hidden="false" customHeight="false" outlineLevel="0" collapsed="false">
      <c r="A76" s="0" t="str">
        <f aca="false">IF(Consolidated!B79="","",Consolidated!B79&amp;"|"&amp;TEXT(Consolidated!C79,"yyyymmdd")&amp;"|"&amp;HOUR(Consolidated!D79))</f>
        <v>Auto|20260706|9</v>
      </c>
      <c r="B76" s="0" t="str">
        <f aca="false">IF(Consolidated!B79="","",SUBSTITUTE(SUBSTITUTE(TEXT(Consolidated!D79,"h:mm AM/PM")," AM","a")," PM","p")&amp;IF(Consolidated!E79="",""," "&amp;Consolidated!E79)&amp;IF(Consolidated!H79="",""," "&amp;Consolidated!H79))</f>
        <v>9:15a E-C AMs</v>
      </c>
      <c r="C76" s="0" t="str">
        <f aca="false">IF(Consolidated!B79="","",Consolidated!B79&amp;"|"&amp;TEXT(Consolidated!C79,"yyyymmdd"))</f>
        <v>Auto|20260706</v>
      </c>
      <c r="D76" s="0" t="str">
        <f aca="false">IF(Consolidated!I79="","",Consolidated!I79)</f>
        <v>Slowpay AM Daily</v>
      </c>
    </row>
    <row r="77" customFormat="false" ht="15" hidden="false" customHeight="false" outlineLevel="0" collapsed="false">
      <c r="A77" s="0" t="str">
        <f aca="false">IF(Consolidated!B80="","",Consolidated!B80&amp;"|"&amp;TEXT(Consolidated!C80,"yyyymmdd")&amp;"|"&amp;HOUR(Consolidated!D80))</f>
        <v>Auto|20260706|11</v>
      </c>
      <c r="B77" s="0" t="str">
        <f aca="false">IF(Consolidated!B80="","",SUBSTITUTE(SUBSTITUTE(TEXT(Consolidated!D80,"h:mm AM/PM")," AM","a")," PM","p")&amp;IF(Consolidated!E80="",""," "&amp;Consolidated!E80)&amp;IF(Consolidated!H80="",""," "&amp;Consolidated!H80))</f>
        <v>11:00a M-P AMs</v>
      </c>
      <c r="C77" s="0" t="str">
        <f aca="false">IF(Consolidated!B80="","",Consolidated!B80&amp;"|"&amp;TEXT(Consolidated!C80,"yyyymmdd"))</f>
        <v>Auto|20260706</v>
      </c>
      <c r="D77" s="0" t="str">
        <f aca="false">IF(Consolidated!I80="","",Consolidated!I80)</f>
        <v/>
      </c>
    </row>
    <row r="78" customFormat="false" ht="15" hidden="false" customHeight="false" outlineLevel="0" collapsed="false">
      <c r="A78" s="0" t="str">
        <f aca="false">IF(Consolidated!B81="","",Consolidated!B81&amp;"|"&amp;TEXT(Consolidated!C81,"yyyymmdd")&amp;"|"&amp;HOUR(Consolidated!D81))</f>
        <v>Auto|20260706|14</v>
      </c>
      <c r="B78" s="0" t="str">
        <f aca="false">IF(Consolidated!B81="","",SUBSTITUTE(SUBSTITUTE(TEXT(Consolidated!D81,"h:mm AM/PM")," AM","a")," PM","p")&amp;IF(Consolidated!E81="",""," "&amp;Consolidated!E81)&amp;IF(Consolidated!H81="",""," "&amp;Consolidated!H81))</f>
        <v>2:00p WFO</v>
      </c>
      <c r="C78" s="0" t="str">
        <f aca="false">IF(Consolidated!B81="","",Consolidated!B81&amp;"|"&amp;TEXT(Consolidated!C81,"yyyymmdd"))</f>
        <v>Auto|20260706</v>
      </c>
      <c r="D78" s="0" t="str">
        <f aca="false">IF(Consolidated!I81="","",Consolidated!I81)</f>
        <v/>
      </c>
    </row>
    <row r="79" customFormat="false" ht="15" hidden="false" customHeight="false" outlineLevel="0" collapsed="false">
      <c r="A79" s="0" t="str">
        <f aca="false">IF(Consolidated!B82="","",Consolidated!B82&amp;"|"&amp;TEXT(Consolidated!C82,"yyyymmdd")&amp;"|"&amp;HOUR(Consolidated!D82))</f>
        <v>Auto|20260706|17</v>
      </c>
      <c r="B79" s="0" t="str">
        <f aca="false">IF(Consolidated!B82="","",SUBSTITUTE(SUBSTITUTE(TEXT(Consolidated!D82,"h:mm AM/PM")," AM","a")," PM","p")&amp;IF(Consolidated!E82="",""," "&amp;Consolidated!E82)&amp;IF(Consolidated!H82="",""," "&amp;Consolidated!H82))</f>
        <v>5:00p Blitz</v>
      </c>
      <c r="C79" s="0" t="str">
        <f aca="false">IF(Consolidated!B82="","",Consolidated!B82&amp;"|"&amp;TEXT(Consolidated!C82,"yyyymmdd"))</f>
        <v>Auto|20260706</v>
      </c>
      <c r="D79" s="0" t="str">
        <f aca="false">IF(Consolidated!I82="","",Consolidated!I82)</f>
        <v/>
      </c>
    </row>
    <row r="80" customFormat="false" ht="15" hidden="false" customHeight="false" outlineLevel="0" collapsed="false">
      <c r="A80" s="0" t="str">
        <f aca="false">IF(Consolidated!B83="","",Consolidated!B83&amp;"|"&amp;TEXT(Consolidated!C83,"yyyymmdd")&amp;"|"&amp;HOUR(Consolidated!D83))</f>
        <v>Auto|20260706|20</v>
      </c>
      <c r="B80" s="0" t="str">
        <f aca="false">IF(Consolidated!B83="","",SUBSTITUTE(SUBSTITUTE(TEXT(Consolidated!D83,"h:mm AM/PM")," AM","a")," PM","p")&amp;IF(Consolidated!E83="",""," "&amp;Consolidated!E83)&amp;IF(Consolidated!H83="",""," "&amp;Consolidated!H83))</f>
        <v>8:00p TSC (All)</v>
      </c>
      <c r="C80" s="0" t="str">
        <f aca="false">IF(Consolidated!B83="","",Consolidated!B83&amp;"|"&amp;TEXT(Consolidated!C83,"yyyymmdd"))</f>
        <v>Auto|20260706</v>
      </c>
      <c r="D80" s="0" t="str">
        <f aca="false">IF(Consolidated!I83="","",Consolidated!I83)</f>
        <v/>
      </c>
    </row>
    <row r="81" customFormat="false" ht="15" hidden="false" customHeight="false" outlineLevel="0" collapsed="false">
      <c r="A81" s="0" t="str">
        <f aca="false">IF(Consolidated!B84="","",Consolidated!B84&amp;"|"&amp;TEXT(Consolidated!C84,"yyyymmdd")&amp;"|"&amp;HOUR(Consolidated!D84))</f>
        <v>BE|20260706|10</v>
      </c>
      <c r="B81" s="0" t="str">
        <f aca="false">IF(Consolidated!B84="","",SUBSTITUTE(SUBSTITUTE(TEXT(Consolidated!D84,"h:mm AM/PM")," AM","a")," PM","p")&amp;IF(Consolidated!E84="",""," "&amp;Consolidated!E84)&amp;IF(Consolidated!H84="",""," "&amp;Consolidated!H84))</f>
        <v>10:00a E-C-M AMs</v>
      </c>
      <c r="C81" s="0" t="str">
        <f aca="false">IF(Consolidated!B84="","",Consolidated!B84&amp;"|"&amp;TEXT(Consolidated!C84,"yyyymmdd"))</f>
        <v>BE|20260706</v>
      </c>
      <c r="D81" s="0" t="str">
        <f aca="false">IF(Consolidated!I84="","",Consolidated!I84)</f>
        <v/>
      </c>
    </row>
    <row r="82" customFormat="false" ht="15" hidden="false" customHeight="false" outlineLevel="0" collapsed="false">
      <c r="A82" s="0" t="str">
        <f aca="false">IF(Consolidated!B85="","",Consolidated!B85&amp;"|"&amp;TEXT(Consolidated!C85,"yyyymmdd")&amp;"|"&amp;HOUR(Consolidated!D85))</f>
        <v>BE|20260706|11</v>
      </c>
      <c r="B82" s="0" t="str">
        <f aca="false">IF(Consolidated!B85="","",SUBSTITUTE(SUBSTITUTE(TEXT(Consolidated!D85,"h:mm AM/PM")," AM","a")," PM","p")&amp;IF(Consolidated!E85="",""," "&amp;Consolidated!E85)&amp;IF(Consolidated!H85="",""," "&amp;Consolidated!H85))</f>
        <v>11:30a P AMs</v>
      </c>
      <c r="C82" s="0" t="str">
        <f aca="false">IF(Consolidated!B85="","",Consolidated!B85&amp;"|"&amp;TEXT(Consolidated!C85,"yyyymmdd"))</f>
        <v>BE|20260706</v>
      </c>
      <c r="D82" s="0" t="str">
        <f aca="false">IF(Consolidated!I85="","",Consolidated!I85)</f>
        <v/>
      </c>
    </row>
    <row r="83" customFormat="false" ht="15" hidden="false" customHeight="false" outlineLevel="0" collapsed="false">
      <c r="A83" s="0" t="str">
        <f aca="false">IF(Consolidated!B86="","",Consolidated!B86&amp;"|"&amp;TEXT(Consolidated!C86,"yyyymmdd")&amp;"|"&amp;HOUR(Consolidated!D86))</f>
        <v>BE|20260706|13</v>
      </c>
      <c r="B83" s="0" t="str">
        <f aca="false">IF(Consolidated!B86="","",SUBSTITUTE(SUBSTITUTE(TEXT(Consolidated!D86,"h:mm AM/PM")," AM","a")," PM","p")&amp;IF(Consolidated!E86="",""," "&amp;Consolidated!E86)&amp;IF(Consolidated!H86="",""," "&amp;Consolidated!H86))</f>
        <v>1:00p WFO</v>
      </c>
      <c r="C83" s="0" t="str">
        <f aca="false">IF(Consolidated!B86="","",Consolidated!B86&amp;"|"&amp;TEXT(Consolidated!C86,"yyyymmdd"))</f>
        <v>BE|20260706</v>
      </c>
      <c r="D83" s="0" t="str">
        <f aca="false">IF(Consolidated!I86="","",Consolidated!I86)</f>
        <v/>
      </c>
    </row>
    <row r="84" customFormat="false" ht="15" hidden="false" customHeight="false" outlineLevel="0" collapsed="false">
      <c r="A84" s="0" t="str">
        <f aca="false">IF(Consolidated!B87="","",Consolidated!B87&amp;"|"&amp;TEXT(Consolidated!C87,"yyyymmdd")&amp;"|"&amp;HOUR(Consolidated!D87))</f>
        <v>BE|20260706|17</v>
      </c>
      <c r="B84" s="0" t="str">
        <f aca="false">IF(Consolidated!B87="","",SUBSTITUTE(SUBSTITUTE(TEXT(Consolidated!D87,"h:mm AM/PM")," AM","a")," PM","p")&amp;IF(Consolidated!E87="",""," "&amp;Consolidated!E87)&amp;IF(Consolidated!H87="",""," "&amp;Consolidated!H87))</f>
        <v>5:00p Blitz</v>
      </c>
      <c r="C84" s="0" t="str">
        <f aca="false">IF(Consolidated!B87="","",Consolidated!B87&amp;"|"&amp;TEXT(Consolidated!C87,"yyyymmdd"))</f>
        <v>BE|20260706</v>
      </c>
      <c r="D84" s="0" t="str">
        <f aca="false">IF(Consolidated!I87="","",Consolidated!I87)</f>
        <v/>
      </c>
    </row>
    <row r="85" customFormat="false" ht="15" hidden="false" customHeight="false" outlineLevel="0" collapsed="false">
      <c r="A85" s="0" t="str">
        <f aca="false">IF(Consolidated!B88="","",Consolidated!B88&amp;"|"&amp;TEXT(Consolidated!C88,"yyyymmdd")&amp;"|"&amp;HOUR(Consolidated!D88))</f>
        <v>BE|20260706|20</v>
      </c>
      <c r="B85" s="0" t="str">
        <f aca="false">IF(Consolidated!B88="","",SUBSTITUTE(SUBSTITUTE(TEXT(Consolidated!D88,"h:mm AM/PM")," AM","a")," PM","p")&amp;IF(Consolidated!E88="",""," "&amp;Consolidated!E88)&amp;IF(Consolidated!H88="",""," "&amp;Consolidated!H88))</f>
        <v>8:00p TSC (All)</v>
      </c>
      <c r="C85" s="0" t="str">
        <f aca="false">IF(Consolidated!B88="","",Consolidated!B88&amp;"|"&amp;TEXT(Consolidated!C88,"yyyymmdd"))</f>
        <v>BE|20260706</v>
      </c>
      <c r="D85" s="0" t="str">
        <f aca="false">IF(Consolidated!I88="","",Consolidated!I88)</f>
        <v/>
      </c>
    </row>
    <row r="86" customFormat="false" ht="15" hidden="false" customHeight="false" outlineLevel="0" collapsed="false">
      <c r="A86" s="0" t="str">
        <f aca="false">IF(Consolidated!B89="","",Consolidated!B89&amp;"|"&amp;TEXT(Consolidated!C89,"yyyymmdd")&amp;"|"&amp;HOUR(Consolidated!D89))</f>
        <v>Branch Central|20260706|9</v>
      </c>
      <c r="B86" s="0" t="str">
        <f aca="false">IF(Consolidated!B89="","",SUBSTITUTE(SUBSTITUTE(TEXT(Consolidated!D89,"h:mm AM/PM")," AM","a")," PM","p")&amp;IF(Consolidated!E89="",""," "&amp;Consolidated!E89)&amp;IF(Consolidated!H89="",""," "&amp;Consolidated!H89))</f>
        <v>9:00a 2Pay E-C</v>
      </c>
      <c r="C86" s="0" t="str">
        <f aca="false">IF(Consolidated!B89="","",Consolidated!B89&amp;"|"&amp;TEXT(Consolidated!C89,"yyyymmdd"))</f>
        <v>Branch Central|20260706</v>
      </c>
      <c r="D86" s="0" t="str">
        <f aca="false">IF(Consolidated!I89="","",Consolidated!I89)</f>
        <v/>
      </c>
    </row>
    <row r="87" customFormat="false" ht="15" hidden="false" customHeight="false" outlineLevel="0" collapsed="false">
      <c r="A87" s="0" t="str">
        <f aca="false">IF(Consolidated!B90="","",Consolidated!B90&amp;"|"&amp;TEXT(Consolidated!C90,"yyyymmdd")&amp;"|"&amp;HOUR(Consolidated!D90))</f>
        <v>Branch Central|20260706|11</v>
      </c>
      <c r="B87" s="0" t="str">
        <f aca="false">IF(Consolidated!B90="","",SUBSTITUTE(SUBSTITUTE(TEXT(Consolidated!D90,"h:mm AM/PM")," AM","a")," PM","p")&amp;IF(Consolidated!E90="",""," "&amp;Consolidated!E90)&amp;IF(Consolidated!H90="",""," "&amp;Consolidated!H90))</f>
        <v>11:00a 2Pay M-P</v>
      </c>
      <c r="C87" s="0" t="str">
        <f aca="false">IF(Consolidated!B90="","",Consolidated!B90&amp;"|"&amp;TEXT(Consolidated!C90,"yyyymmdd"))</f>
        <v>Branch Central|20260706</v>
      </c>
      <c r="D87" s="0" t="str">
        <f aca="false">IF(Consolidated!I90="","",Consolidated!I90)</f>
        <v/>
      </c>
    </row>
    <row r="88" customFormat="false" ht="15" hidden="false" customHeight="false" outlineLevel="0" collapsed="false">
      <c r="A88" s="0" t="str">
        <f aca="false">IF(Consolidated!B91="","",Consolidated!B91&amp;"|"&amp;TEXT(Consolidated!C91,"yyyymmdd")&amp;"|"&amp;HOUR(Consolidated!D91))</f>
        <v>Branch Central|20260706|12</v>
      </c>
      <c r="B88" s="0" t="str">
        <f aca="false">IF(Consolidated!B91="","",SUBSTITUTE(SUBSTITUTE(TEXT(Consolidated!D91,"h:mm AM/PM")," AM","a")," PM","p")&amp;IF(Consolidated!E91="",""," "&amp;Consolidated!E91)&amp;IF(Consolidated!H91="",""," "&amp;Consolidated!H91))</f>
        <v>12:30p E-C 1s &amp; Slow</v>
      </c>
      <c r="C88" s="0" t="str">
        <f aca="false">IF(Consolidated!B91="","",Consolidated!B91&amp;"|"&amp;TEXT(Consolidated!C91,"yyyymmdd"))</f>
        <v>Branch Central|20260706</v>
      </c>
      <c r="D88" s="0" t="str">
        <f aca="false">IF(Consolidated!I91="","",Consolidated!I91)</f>
        <v/>
      </c>
    </row>
    <row r="89" customFormat="false" ht="15" hidden="false" customHeight="false" outlineLevel="0" collapsed="false">
      <c r="A89" s="0" t="str">
        <f aca="false">IF(Consolidated!B92="","",Consolidated!B92&amp;"|"&amp;TEXT(Consolidated!C92,"yyyymmdd")&amp;"|"&amp;HOUR(Consolidated!D92))</f>
        <v>Branch Vendor|20260706|18</v>
      </c>
      <c r="B89" s="0" t="str">
        <f aca="false">IF(Consolidated!B92="","",SUBSTITUTE(SUBSTITUTE(TEXT(Consolidated!D92,"h:mm AM/PM")," AM","a")," PM","p")&amp;IF(Consolidated!E92="",""," "&amp;Consolidated!E92)&amp;IF(Consolidated!H92="",""," "&amp;Consolidated!H92))</f>
        <v>6:00p Vendor</v>
      </c>
      <c r="C89" s="0" t="str">
        <f aca="false">IF(Consolidated!B92="","",Consolidated!B92&amp;"|"&amp;TEXT(Consolidated!C92,"yyyymmdd"))</f>
        <v>Branch Vendor|20260706</v>
      </c>
      <c r="D89" s="0" t="str">
        <f aca="false">IF(Consolidated!I92="","",Consolidated!I92)</f>
        <v/>
      </c>
    </row>
    <row r="90" customFormat="false" ht="15" hidden="false" customHeight="false" outlineLevel="0" collapsed="false">
      <c r="A90" s="0" t="str">
        <f aca="false">IF(Consolidated!B93="","",Consolidated!B93&amp;"|"&amp;TEXT(Consolidated!C93,"yyyymmdd")&amp;"|"&amp;HOUR(Consolidated!D93))</f>
        <v>Card|20260706|8</v>
      </c>
      <c r="B90" s="0" t="str">
        <f aca="false">IF(Consolidated!B93="","",SUBSTITUTE(SUBSTITUTE(TEXT(Consolidated!D93,"h:mm AM/PM")," AM","a")," PM","p")&amp;IF(Consolidated!E93="",""," "&amp;Consolidated!E93)&amp;IF(Consolidated!H93="",""," "&amp;Consolidated!H93))</f>
        <v>8:00a</v>
      </c>
      <c r="C90" s="0" t="str">
        <f aca="false">IF(Consolidated!B93="","",Consolidated!B93&amp;"|"&amp;TEXT(Consolidated!C93,"yyyymmdd"))</f>
        <v>Card|20260706</v>
      </c>
      <c r="D90" s="0" t="str">
        <f aca="false">IF(Consolidated!I93="","",Consolidated!I93)</f>
        <v/>
      </c>
    </row>
    <row r="91" customFormat="false" ht="15" hidden="false" customHeight="false" outlineLevel="0" collapsed="false">
      <c r="A91" s="0" t="str">
        <f aca="false">IF(Consolidated!B94="","",Consolidated!B94&amp;"|"&amp;TEXT(Consolidated!C94,"yyyymmdd")&amp;"|"&amp;HOUR(Consolidated!D94))</f>
        <v>Card|20260706|12</v>
      </c>
      <c r="B91" s="0" t="str">
        <f aca="false">IF(Consolidated!B94="","",SUBSTITUTE(SUBSTITUTE(TEXT(Consolidated!D94,"h:mm AM/PM")," AM","a")," PM","p")&amp;IF(Consolidated!E94="",""," "&amp;Consolidated!E94)&amp;IF(Consolidated!H94="",""," "&amp;Consolidated!H94))</f>
        <v>12:00p</v>
      </c>
      <c r="C91" s="0" t="str">
        <f aca="false">IF(Consolidated!B94="","",Consolidated!B94&amp;"|"&amp;TEXT(Consolidated!C94,"yyyymmdd"))</f>
        <v>Card|20260706</v>
      </c>
      <c r="D91" s="0" t="str">
        <f aca="false">IF(Consolidated!I94="","",Consolidated!I94)</f>
        <v/>
      </c>
    </row>
    <row r="92" customFormat="false" ht="15" hidden="false" customHeight="false" outlineLevel="0" collapsed="false">
      <c r="A92" s="0" t="str">
        <f aca="false">IF(Consolidated!B95="","",Consolidated!B95&amp;"|"&amp;TEXT(Consolidated!C95,"yyyymmdd")&amp;"|"&amp;HOUR(Consolidated!D95))</f>
        <v>Card|20260706|14</v>
      </c>
      <c r="B92" s="0" t="str">
        <f aca="false">IF(Consolidated!B95="","",SUBSTITUTE(SUBSTITUTE(TEXT(Consolidated!D95,"h:mm AM/PM")," AM","a")," PM","p")&amp;IF(Consolidated!E95="",""," "&amp;Consolidated!E95)&amp;IF(Consolidated!H95="",""," "&amp;Consolidated!H95))</f>
        <v>2:00p ASAP</v>
      </c>
      <c r="C92" s="0" t="str">
        <f aca="false">IF(Consolidated!B95="","",Consolidated!B95&amp;"|"&amp;TEXT(Consolidated!C95,"yyyymmdd"))</f>
        <v>Card|20260706</v>
      </c>
      <c r="D92" s="0" t="str">
        <f aca="false">IF(Consolidated!I95="","",Consolidated!I95)</f>
        <v/>
      </c>
    </row>
    <row r="93" customFormat="false" ht="15" hidden="false" customHeight="false" outlineLevel="0" collapsed="false">
      <c r="A93" s="0" t="str">
        <f aca="false">IF(Consolidated!B96="","",Consolidated!B96&amp;"|"&amp;TEXT(Consolidated!C96,"yyyymmdd")&amp;"|"&amp;HOUR(Consolidated!D96))</f>
        <v>Card|20260706|16</v>
      </c>
      <c r="B93" s="0" t="str">
        <f aca="false">IF(Consolidated!B96="","",SUBSTITUTE(SUBSTITUTE(TEXT(Consolidated!D96,"h:mm AM/PM")," AM","a")," PM","p")&amp;IF(Consolidated!E96="",""," "&amp;Consolidated!E96)&amp;IF(Consolidated!H96="",""," "&amp;Consolidated!H96))</f>
        <v>4:00p ASAP</v>
      </c>
      <c r="C93" s="0" t="str">
        <f aca="false">IF(Consolidated!B96="","",Consolidated!B96&amp;"|"&amp;TEXT(Consolidated!C96,"yyyymmdd"))</f>
        <v>Card|20260706</v>
      </c>
      <c r="D93" s="0" t="str">
        <f aca="false">IF(Consolidated!I96="","",Consolidated!I96)</f>
        <v/>
      </c>
    </row>
    <row r="94" customFormat="false" ht="15" hidden="false" customHeight="false" outlineLevel="0" collapsed="false">
      <c r="A94" s="0" t="str">
        <f aca="false">IF(Consolidated!B97="","",Consolidated!B97&amp;"|"&amp;TEXT(Consolidated!C97,"yyyymmdd")&amp;"|"&amp;HOUR(Consolidated!D97))</f>
        <v>Card|20260706|18</v>
      </c>
      <c r="B94" s="0" t="str">
        <f aca="false">IF(Consolidated!B97="","",SUBSTITUTE(SUBSTITUTE(TEXT(Consolidated!D97,"h:mm AM/PM")," AM","a")," PM","p")&amp;IF(Consolidated!E97="",""," "&amp;Consolidated!E97)&amp;IF(Consolidated!H97="",""," "&amp;Consolidated!H97))</f>
        <v>6:00p ASAP</v>
      </c>
      <c r="C94" s="0" t="str">
        <f aca="false">IF(Consolidated!B97="","",Consolidated!B97&amp;"|"&amp;TEXT(Consolidated!C97,"yyyymmdd"))</f>
        <v>Card|20260706</v>
      </c>
      <c r="D94" s="0" t="str">
        <f aca="false">IF(Consolidated!I97="","",Consolidated!I97)</f>
        <v/>
      </c>
    </row>
    <row r="95" customFormat="false" ht="15" hidden="false" customHeight="false" outlineLevel="0" collapsed="false">
      <c r="A95" s="0" t="str">
        <f aca="false">IF(Consolidated!B98="","",Consolidated!B98&amp;"|"&amp;TEXT(Consolidated!C98,"yyyymmdd")&amp;"|"&amp;HOUR(Consolidated!D98))</f>
        <v>Card|20260706|12</v>
      </c>
      <c r="B95" s="0" t="str">
        <f aca="false">IF(Consolidated!B98="","",SUBSTITUTE(SUBSTITUTE(TEXT(Consolidated!D98,"h:mm AM/PM")," AM","a")," PM","p")&amp;IF(Consolidated!E98="",""," "&amp;Consolidated!E98)&amp;IF(Consolidated!H98="",""," "&amp;Consolidated!H98))</f>
        <v>12:30p</v>
      </c>
      <c r="C95" s="0" t="str">
        <f aca="false">IF(Consolidated!B98="","",Consolidated!B98&amp;"|"&amp;TEXT(Consolidated!C98,"yyyymmdd"))</f>
        <v>Card|20260706</v>
      </c>
      <c r="D95" s="0" t="str">
        <f aca="false">IF(Consolidated!I98="","",Consolidated!I98)</f>
        <v/>
      </c>
    </row>
    <row r="96" customFormat="false" ht="15" hidden="false" customHeight="false" outlineLevel="0" collapsed="false">
      <c r="A96" s="0" t="str">
        <f aca="false">IF(Consolidated!B99="","",Consolidated!B99&amp;"|"&amp;TEXT(Consolidated!C99,"yyyymmdd")&amp;"|"&amp;HOUR(Consolidated!D99))</f>
        <v>Card|20260706|6</v>
      </c>
      <c r="B96" s="0" t="str">
        <f aca="false">IF(Consolidated!B99="","",SUBSTITUTE(SUBSTITUTE(TEXT(Consolidated!D99,"h:mm AM/PM")," AM","a")," PM","p")&amp;IF(Consolidated!E99="",""," "&amp;Consolidated!E99)&amp;IF(Consolidated!H99="",""," "&amp;Consolidated!H99))</f>
        <v>6:00a</v>
      </c>
      <c r="C96" s="0" t="str">
        <f aca="false">IF(Consolidated!B99="","",Consolidated!B99&amp;"|"&amp;TEXT(Consolidated!C99,"yyyymmdd"))</f>
        <v>Card|20260706</v>
      </c>
      <c r="D96" s="0" t="str">
        <f aca="false">IF(Consolidated!I99="","",Consolidated!I99)</f>
        <v/>
      </c>
    </row>
    <row r="97" customFormat="false" ht="15" hidden="false" customHeight="false" outlineLevel="0" collapsed="false">
      <c r="A97" s="0" t="str">
        <f aca="false">IF(Consolidated!B100="","",Consolidated!B100&amp;"|"&amp;TEXT(Consolidated!C100,"yyyymmdd")&amp;"|"&amp;HOUR(Consolidated!D100))</f>
        <v>FE|20260706|10</v>
      </c>
      <c r="B97" s="0" t="str">
        <f aca="false">IF(Consolidated!B100="","",SUBSTITUTE(SUBSTITUTE(TEXT(Consolidated!D100,"h:mm AM/PM")," AM","a")," PM","p")&amp;IF(Consolidated!E100="",""," "&amp;Consolidated!E100)&amp;IF(Consolidated!H100="",""," "&amp;Consolidated!H100))</f>
        <v>10:00a E-C-M AMs</v>
      </c>
      <c r="C97" s="0" t="str">
        <f aca="false">IF(Consolidated!B100="","",Consolidated!B100&amp;"|"&amp;TEXT(Consolidated!C100,"yyyymmdd"))</f>
        <v>FE|20260706</v>
      </c>
      <c r="D97" s="0" t="str">
        <f aca="false">IF(Consolidated!I100="","",Consolidated!I100)</f>
        <v/>
      </c>
    </row>
    <row r="98" customFormat="false" ht="15" hidden="false" customHeight="false" outlineLevel="0" collapsed="false">
      <c r="A98" s="0" t="str">
        <f aca="false">IF(Consolidated!B101="","",Consolidated!B101&amp;"|"&amp;TEXT(Consolidated!C101,"yyyymmdd")&amp;"|"&amp;HOUR(Consolidated!D101))</f>
        <v>FE|20260706|11</v>
      </c>
      <c r="B98" s="0" t="str">
        <f aca="false">IF(Consolidated!B101="","",SUBSTITUTE(SUBSTITUTE(TEXT(Consolidated!D101,"h:mm AM/PM")," AM","a")," PM","p")&amp;IF(Consolidated!E101="",""," "&amp;Consolidated!E101)&amp;IF(Consolidated!H101="",""," "&amp;Consolidated!H101))</f>
        <v>11:30a P AMs</v>
      </c>
      <c r="C98" s="0" t="str">
        <f aca="false">IF(Consolidated!B101="","",Consolidated!B101&amp;"|"&amp;TEXT(Consolidated!C101,"yyyymmdd"))</f>
        <v>FE|20260706</v>
      </c>
      <c r="D98" s="0" t="str">
        <f aca="false">IF(Consolidated!I101="","",Consolidated!I101)</f>
        <v/>
      </c>
    </row>
    <row r="99" customFormat="false" ht="15" hidden="false" customHeight="false" outlineLevel="0" collapsed="false">
      <c r="A99" s="0" t="str">
        <f aca="false">IF(Consolidated!B102="","",Consolidated!B102&amp;"|"&amp;TEXT(Consolidated!C102,"yyyymmdd")&amp;"|"&amp;HOUR(Consolidated!D102))</f>
        <v>FE|20260706|12</v>
      </c>
      <c r="B99" s="0" t="str">
        <f aca="false">IF(Consolidated!B102="","",SUBSTITUTE(SUBSTITUTE(TEXT(Consolidated!D102,"h:mm AM/PM")," AM","a")," PM","p")&amp;IF(Consolidated!E102="",""," "&amp;Consolidated!E102)&amp;IF(Consolidated!H102="",""," "&amp;Consolidated!H102))</f>
        <v>12:30p Branch</v>
      </c>
      <c r="C99" s="0" t="str">
        <f aca="false">IF(Consolidated!B102="","",Consolidated!B102&amp;"|"&amp;TEXT(Consolidated!C102,"yyyymmdd"))</f>
        <v>FE|20260706</v>
      </c>
      <c r="D99" s="0" t="str">
        <f aca="false">IF(Consolidated!I102="","",Consolidated!I102)</f>
        <v/>
      </c>
    </row>
    <row r="100" customFormat="false" ht="15" hidden="false" customHeight="false" outlineLevel="0" collapsed="false">
      <c r="A100" s="0" t="str">
        <f aca="false">IF(Consolidated!B103="","",Consolidated!B103&amp;"|"&amp;TEXT(Consolidated!C103,"yyyymmdd")&amp;"|"&amp;HOUR(Consolidated!D103))</f>
        <v>FE|20260706|14</v>
      </c>
      <c r="B100" s="0" t="str">
        <f aca="false">IF(Consolidated!B103="","",SUBSTITUTE(SUBSTITUTE(TEXT(Consolidated!D103,"h:mm AM/PM")," AM","a")," PM","p")&amp;IF(Consolidated!E103="",""," "&amp;Consolidated!E103)&amp;IF(Consolidated!H103="",""," "&amp;Consolidated!H103))</f>
        <v>2:30p WFO</v>
      </c>
      <c r="C100" s="0" t="str">
        <f aca="false">IF(Consolidated!B103="","",Consolidated!B103&amp;"|"&amp;TEXT(Consolidated!C103,"yyyymmdd"))</f>
        <v>FE|20260706</v>
      </c>
      <c r="D100" s="0" t="str">
        <f aca="false">IF(Consolidated!I103="","",Consolidated!I103)</f>
        <v/>
      </c>
    </row>
    <row r="101" customFormat="false" ht="15" hidden="false" customHeight="false" outlineLevel="0" collapsed="false">
      <c r="A101" s="0" t="str">
        <f aca="false">IF(Consolidated!B104="","",Consolidated!B104&amp;"|"&amp;TEXT(Consolidated!C104,"yyyymmdd")&amp;"|"&amp;HOUR(Consolidated!D104))</f>
        <v>FE|20260706|17</v>
      </c>
      <c r="B101" s="0" t="str">
        <f aca="false">IF(Consolidated!B104="","",SUBSTITUTE(SUBSTITUTE(TEXT(Consolidated!D104,"h:mm AM/PM")," AM","a")," PM","p")&amp;IF(Consolidated!E104="",""," "&amp;Consolidated!E104)&amp;IF(Consolidated!H104="",""," "&amp;Consolidated!H104))</f>
        <v>5:00p Blitz</v>
      </c>
      <c r="C101" s="0" t="str">
        <f aca="false">IF(Consolidated!B104="","",Consolidated!B104&amp;"|"&amp;TEXT(Consolidated!C104,"yyyymmdd"))</f>
        <v>FE|20260706</v>
      </c>
      <c r="D101" s="0" t="str">
        <f aca="false">IF(Consolidated!I104="","",Consolidated!I104)</f>
        <v/>
      </c>
    </row>
    <row r="102" customFormat="false" ht="15" hidden="false" customHeight="false" outlineLevel="0" collapsed="false">
      <c r="A102" s="0" t="str">
        <f aca="false">IF(Consolidated!B105="","",Consolidated!B105&amp;"|"&amp;TEXT(Consolidated!C105,"yyyymmdd")&amp;"|"&amp;HOUR(Consolidated!D105))</f>
        <v>FE|20260706|20</v>
      </c>
      <c r="B102" s="0" t="str">
        <f aca="false">IF(Consolidated!B105="","",SUBSTITUTE(SUBSTITUTE(TEXT(Consolidated!D105,"h:mm AM/PM")," AM","a")," PM","p")&amp;IF(Consolidated!E105="",""," "&amp;Consolidated!E105)&amp;IF(Consolidated!H105="",""," "&amp;Consolidated!H105))</f>
        <v>8:00p TSC (All)</v>
      </c>
      <c r="C102" s="0" t="str">
        <f aca="false">IF(Consolidated!B105="","",Consolidated!B105&amp;"|"&amp;TEXT(Consolidated!C105,"yyyymmdd"))</f>
        <v>FE|20260706</v>
      </c>
      <c r="D102" s="0" t="str">
        <f aca="false">IF(Consolidated!I105="","",Consolidated!I105)</f>
        <v/>
      </c>
    </row>
    <row r="103" customFormat="false" ht="15" hidden="false" customHeight="false" outlineLevel="0" collapsed="false">
      <c r="A103" s="0" t="str">
        <f aca="false">IF(Consolidated!B106="","",Consolidated!B106&amp;"|"&amp;TEXT(Consolidated!C106,"yyyymmdd")&amp;"|"&amp;HOUR(Consolidated!D106))</f>
        <v>Optional Products|20260706|0</v>
      </c>
      <c r="B103" s="0" t="str">
        <f aca="false">IF(Consolidated!B106="","",SUBSTITUTE(SUBSTITUTE(TEXT(Consolidated!D106,"h:mm AM/PM")," AM","a")," PM","p")&amp;IF(Consolidated!E106="",""," "&amp;Consolidated!E106)&amp;IF(Consolidated!H106="",""," "&amp;Consolidated!H106))</f>
        <v>12:00a Second</v>
      </c>
      <c r="C103" s="0" t="str">
        <f aca="false">IF(Consolidated!B106="","",Consolidated!B106&amp;"|"&amp;TEXT(Consolidated!C106,"yyyymmdd"))</f>
        <v>Optional Products|20260706</v>
      </c>
      <c r="D103" s="0" t="str">
        <f aca="false">IF(Consolidated!I106="","",Consolidated!I106)</f>
        <v>Priority Order: Second</v>
      </c>
    </row>
    <row r="104" customFormat="false" ht="15" hidden="false" customHeight="false" outlineLevel="0" collapsed="false">
      <c r="A104" s="0" t="str">
        <f aca="false">IF(Consolidated!B107="","",Consolidated!B107&amp;"|"&amp;TEXT(Consolidated!C107,"yyyymmdd")&amp;"|"&amp;HOUR(Consolidated!D107))</f>
        <v>PCO|20260706|8</v>
      </c>
      <c r="B104" s="0" t="str">
        <f aca="false">IF(Consolidated!B107="","",SUBSTITUTE(SUBSTITUTE(TEXT(Consolidated!D107,"h:mm AM/PM")," AM","a")," PM","p")&amp;IF(Consolidated!E107="",""," "&amp;Consolidated!E107)&amp;IF(Consolidated!H107="",""," "&amp;Consolidated!H107))</f>
        <v>8:30a E AMs</v>
      </c>
      <c r="C104" s="0" t="str">
        <f aca="false">IF(Consolidated!B107="","",Consolidated!B107&amp;"|"&amp;TEXT(Consolidated!C107,"yyyymmdd"))</f>
        <v>PCO|20260706</v>
      </c>
      <c r="D104" s="0" t="str">
        <f aca="false">IF(Consolidated!I107="","",Consolidated!I107)</f>
        <v/>
      </c>
    </row>
    <row r="105" customFormat="false" ht="15" hidden="false" customHeight="false" outlineLevel="0" collapsed="false">
      <c r="A105" s="0" t="str">
        <f aca="false">IF(Consolidated!B108="","",Consolidated!B108&amp;"|"&amp;TEXT(Consolidated!C108,"yyyymmdd")&amp;"|"&amp;HOUR(Consolidated!D108))</f>
        <v>PCO|20260706|11</v>
      </c>
      <c r="B105" s="0" t="str">
        <f aca="false">IF(Consolidated!B108="","",SUBSTITUTE(SUBSTITUTE(TEXT(Consolidated!D108,"h:mm AM/PM")," AM","a")," PM","p")&amp;IF(Consolidated!E108="",""," "&amp;Consolidated!E108)&amp;IF(Consolidated!H108="",""," "&amp;Consolidated!H108))</f>
        <v>11:15a C-M-P AMs</v>
      </c>
      <c r="C105" s="0" t="str">
        <f aca="false">IF(Consolidated!B108="","",Consolidated!B108&amp;"|"&amp;TEXT(Consolidated!C108,"yyyymmdd"))</f>
        <v>PCO|20260706</v>
      </c>
      <c r="D105" s="0" t="str">
        <f aca="false">IF(Consolidated!I108="","",Consolidated!I108)</f>
        <v/>
      </c>
    </row>
    <row r="106" customFormat="false" ht="15" hidden="false" customHeight="false" outlineLevel="0" collapsed="false">
      <c r="A106" s="0" t="str">
        <f aca="false">IF(Consolidated!B109="","",Consolidated!B109&amp;"|"&amp;TEXT(Consolidated!C109,"yyyymmdd")&amp;"|"&amp;HOUR(Consolidated!D109))</f>
        <v>PCO|20260706|13</v>
      </c>
      <c r="B106" s="0" t="str">
        <f aca="false">IF(Consolidated!B109="","",SUBSTITUTE(SUBSTITUTE(TEXT(Consolidated!D109,"h:mm AM/PM")," AM","a")," PM","p")&amp;IF(Consolidated!E109="",""," "&amp;Consolidated!E109)&amp;IF(Consolidated!H109="",""," "&amp;Consolidated!H109))</f>
        <v>1:00p WFO</v>
      </c>
      <c r="C106" s="0" t="str">
        <f aca="false">IF(Consolidated!B109="","",Consolidated!B109&amp;"|"&amp;TEXT(Consolidated!C109,"yyyymmdd"))</f>
        <v>PCO|20260706</v>
      </c>
      <c r="D106" s="0" t="str">
        <f aca="false">IF(Consolidated!I109="","",Consolidated!I109)</f>
        <v/>
      </c>
    </row>
    <row r="107" customFormat="false" ht="15" hidden="false" customHeight="false" outlineLevel="0" collapsed="false">
      <c r="A107" s="0" t="str">
        <f aca="false">IF(Consolidated!B110="","",Consolidated!B110&amp;"|"&amp;TEXT(Consolidated!C110,"yyyymmdd")&amp;"|"&amp;HOUR(Consolidated!D110))</f>
        <v>PCO|20260706|17</v>
      </c>
      <c r="B107" s="0" t="str">
        <f aca="false">IF(Consolidated!B110="","",SUBSTITUTE(SUBSTITUTE(TEXT(Consolidated!D110,"h:mm AM/PM")," AM","a")," PM","p")&amp;IF(Consolidated!E110="",""," "&amp;Consolidated!E110)&amp;IF(Consolidated!H110="",""," "&amp;Consolidated!H110))</f>
        <v>5:00p Blitz</v>
      </c>
      <c r="C107" s="0" t="str">
        <f aca="false">IF(Consolidated!B110="","",Consolidated!B110&amp;"|"&amp;TEXT(Consolidated!C110,"yyyymmdd"))</f>
        <v>PCO|20260706</v>
      </c>
      <c r="D107" s="0" t="str">
        <f aca="false">IF(Consolidated!I110="","",Consolidated!I110)</f>
        <v/>
      </c>
    </row>
    <row r="108" customFormat="false" ht="15" hidden="false" customHeight="false" outlineLevel="0" collapsed="false">
      <c r="A108" s="0" t="str">
        <f aca="false">IF(Consolidated!B111="","",Consolidated!B111&amp;"|"&amp;TEXT(Consolidated!C111,"yyyymmdd")&amp;"|"&amp;HOUR(Consolidated!D111))</f>
        <v>PCO|20260706|20</v>
      </c>
      <c r="B108" s="0" t="str">
        <f aca="false">IF(Consolidated!B111="","",SUBSTITUTE(SUBSTITUTE(TEXT(Consolidated!D111,"h:mm AM/PM")," AM","a")," PM","p")&amp;IF(Consolidated!E111="",""," "&amp;Consolidated!E111)&amp;IF(Consolidated!H111="",""," "&amp;Consolidated!H111))</f>
        <v>8:00p TSC (All)</v>
      </c>
      <c r="C108" s="0" t="str">
        <f aca="false">IF(Consolidated!B111="","",Consolidated!B111&amp;"|"&amp;TEXT(Consolidated!C111,"yyyymmdd"))</f>
        <v>PCO|20260706</v>
      </c>
      <c r="D108" s="0" t="str">
        <f aca="false">IF(Consolidated!I111="","",Consolidated!I111)</f>
        <v/>
      </c>
    </row>
    <row r="109" customFormat="false" ht="15" hidden="false" customHeight="false" outlineLevel="0" collapsed="false">
      <c r="A109" s="0" t="str">
        <f aca="false">IF(Consolidated!B112="","",Consolidated!B112&amp;"|"&amp;TEXT(Consolidated!C112,"yyyymmdd")&amp;"|"&amp;HOUR(Consolidated!D112))</f>
        <v>Repo|20260706|8</v>
      </c>
      <c r="B109" s="0" t="str">
        <f aca="false">IF(Consolidated!B112="","",SUBSTITUTE(SUBSTITUTE(TEXT(Consolidated!D112,"h:mm AM/PM")," AM","a")," PM","p")&amp;IF(Consolidated!E112="",""," "&amp;Consolidated!E112)&amp;IF(Consolidated!H112="",""," "&amp;Consolidated!H112))</f>
        <v>8:15a Repo</v>
      </c>
      <c r="C109" s="0" t="str">
        <f aca="false">IF(Consolidated!B112="","",Consolidated!B112&amp;"|"&amp;TEXT(Consolidated!C112,"yyyymmdd"))</f>
        <v>Repo|20260706</v>
      </c>
      <c r="D109" s="0" t="str">
        <f aca="false">IF(Consolidated!I112="","",Consolidated!I112)</f>
        <v>AM Daily</v>
      </c>
    </row>
    <row r="110" customFormat="false" ht="15" hidden="false" customHeight="false" outlineLevel="0" collapsed="false">
      <c r="A110" s="0" t="str">
        <f aca="false">IF(Consolidated!B113="","",Consolidated!B113&amp;"|"&amp;TEXT(Consolidated!C113,"yyyymmdd")&amp;"|"&amp;HOUR(Consolidated!D113))</f>
        <v>Repo|20260706|10</v>
      </c>
      <c r="B110" s="0" t="str">
        <f aca="false">IF(Consolidated!B113="","",SUBSTITUTE(SUBSTITUTE(TEXT(Consolidated!D113,"h:mm AM/PM")," AM","a")," PM","p")&amp;IF(Consolidated!E113="",""," "&amp;Consolidated!E113)&amp;IF(Consolidated!H113="",""," "&amp;Consolidated!H113))</f>
        <v>10:00a Repo</v>
      </c>
      <c r="C110" s="0" t="str">
        <f aca="false">IF(Consolidated!B113="","",Consolidated!B113&amp;"|"&amp;TEXT(Consolidated!C113,"yyyymmdd"))</f>
        <v>Repo|20260706</v>
      </c>
      <c r="D110" s="0" t="str">
        <f aca="false">IF(Consolidated!I113="","",Consolidated!I113)</f>
        <v/>
      </c>
    </row>
    <row r="111" customFormat="false" ht="15" hidden="false" customHeight="false" outlineLevel="0" collapsed="false">
      <c r="A111" s="0" t="str">
        <f aca="false">IF(Consolidated!B114="","",Consolidated!B114&amp;"|"&amp;TEXT(Consolidated!C114,"yyyymmdd")&amp;"|"&amp;HOUR(Consolidated!D114))</f>
        <v>Repo|20260706|11</v>
      </c>
      <c r="B111" s="0" t="str">
        <f aca="false">IF(Consolidated!B114="","",SUBSTITUTE(SUBSTITUTE(TEXT(Consolidated!D114,"h:mm AM/PM")," AM","a")," PM","p")&amp;IF(Consolidated!E114="",""," "&amp;Consolidated!E114)&amp;IF(Consolidated!H114="",""," "&amp;Consolidated!H114))</f>
        <v>11:00a RP</v>
      </c>
      <c r="C111" s="0" t="str">
        <f aca="false">IF(Consolidated!B114="","",Consolidated!B114&amp;"|"&amp;TEXT(Consolidated!C114,"yyyymmdd"))</f>
        <v>Repo|20260706</v>
      </c>
      <c r="D111" s="0" t="str">
        <f aca="false">IF(Consolidated!I114="","",Consolidated!I114)</f>
        <v/>
      </c>
    </row>
    <row r="112" customFormat="false" ht="15" hidden="false" customHeight="false" outlineLevel="0" collapsed="false">
      <c r="A112" s="0" t="str">
        <f aca="false">IF(Consolidated!B115="","",Consolidated!B115&amp;"|"&amp;TEXT(Consolidated!C115,"yyyymmdd")&amp;"|"&amp;HOUR(Consolidated!D115))</f>
        <v>Repo|20260706|13</v>
      </c>
      <c r="B112" s="0" t="str">
        <f aca="false">IF(Consolidated!B115="","",SUBSTITUTE(SUBSTITUTE(TEXT(Consolidated!D115,"h:mm AM/PM")," AM","a")," PM","p")&amp;IF(Consolidated!E115="",""," "&amp;Consolidated!E115)&amp;IF(Consolidated!H115="",""," "&amp;Consolidated!H115))</f>
        <v>1:00p Repo</v>
      </c>
      <c r="C112" s="0" t="str">
        <f aca="false">IF(Consolidated!B115="","",Consolidated!B115&amp;"|"&amp;TEXT(Consolidated!C115,"yyyymmdd"))</f>
        <v>Repo|20260706</v>
      </c>
      <c r="D112" s="0" t="str">
        <f aca="false">IF(Consolidated!I115="","",Consolidated!I115)</f>
        <v/>
      </c>
    </row>
    <row r="113" customFormat="false" ht="15" hidden="false" customHeight="false" outlineLevel="0" collapsed="false">
      <c r="A113" s="0" t="str">
        <f aca="false">IF(Consolidated!B116="","",Consolidated!B116&amp;"|"&amp;TEXT(Consolidated!C116,"yyyymmdd")&amp;"|"&amp;HOUR(Consolidated!D116))</f>
        <v>ARC|20260707|10</v>
      </c>
      <c r="B113" s="0" t="str">
        <f aca="false">IF(Consolidated!B116="","",SUBSTITUTE(SUBSTITUTE(TEXT(Consolidated!D116,"h:mm AM/PM")," AM","a")," PM","p")&amp;IF(Consolidated!E116="",""," "&amp;Consolidated!E116)&amp;IF(Consolidated!H116="",""," "&amp;Consolidated!H116))</f>
        <v>10:00a NCs</v>
      </c>
      <c r="C113" s="0" t="str">
        <f aca="false">IF(Consolidated!B116="","",Consolidated!B116&amp;"|"&amp;TEXT(Consolidated!C116,"yyyymmdd"))</f>
        <v>ARC|20260707</v>
      </c>
      <c r="D113" s="0" t="str">
        <f aca="false">IF(Consolidated!I116="","",Consolidated!I116)</f>
        <v>Hit List / APP</v>
      </c>
    </row>
    <row r="114" customFormat="false" ht="15" hidden="false" customHeight="false" outlineLevel="0" collapsed="false">
      <c r="A114" s="0" t="str">
        <f aca="false">IF(Consolidated!B117="","",Consolidated!B117&amp;"|"&amp;TEXT(Consolidated!C117,"yyyymmdd")&amp;"|"&amp;HOUR(Consolidated!D117))</f>
        <v>ARC|20260707|15</v>
      </c>
      <c r="B114" s="0" t="str">
        <f aca="false">IF(Consolidated!B117="","",SUBSTITUTE(SUBSTITUTE(TEXT(Consolidated!D117,"h:mm AM/PM")," AM","a")," PM","p")&amp;IF(Consolidated!E117="",""," "&amp;Consolidated!E117)&amp;IF(Consolidated!H117="",""," "&amp;Consolidated!H117))</f>
        <v>3:00p All</v>
      </c>
      <c r="C114" s="0" t="str">
        <f aca="false">IF(Consolidated!B117="","",Consolidated!B117&amp;"|"&amp;TEXT(Consolidated!C117,"yyyymmdd"))</f>
        <v>ARC|20260707</v>
      </c>
      <c r="D114" s="0" t="str">
        <f aca="false">IF(Consolidated!I117="","",Consolidated!I117)</f>
        <v>Hit List / APP</v>
      </c>
    </row>
    <row r="115" customFormat="false" ht="15" hidden="false" customHeight="false" outlineLevel="0" collapsed="false">
      <c r="A115" s="0" t="str">
        <f aca="false">IF(Consolidated!B118="","",Consolidated!B118&amp;"|"&amp;TEXT(Consolidated!C118,"yyyymmdd")&amp;"|"&amp;HOUR(Consolidated!D118))</f>
        <v>Auto|20260707|8</v>
      </c>
      <c r="B115" s="0" t="str">
        <f aca="false">IF(Consolidated!B118="","",SUBSTITUTE(SUBSTITUTE(TEXT(Consolidated!D118,"h:mm AM/PM")," AM","a")," PM","p")&amp;IF(Consolidated!E118="",""," "&amp;Consolidated!E118)&amp;IF(Consolidated!H118="",""," "&amp;Consolidated!H118))</f>
        <v>8:15a E</v>
      </c>
      <c r="C115" s="0" t="str">
        <f aca="false">IF(Consolidated!B118="","",Consolidated!B118&amp;"|"&amp;TEXT(Consolidated!C118,"yyyymmdd"))</f>
        <v>Auto|20260707</v>
      </c>
      <c r="D115" s="0" t="str">
        <f aca="false">IF(Consolidated!I118="","",Consolidated!I118)</f>
        <v>Slowpay AM Daily</v>
      </c>
    </row>
    <row r="116" customFormat="false" ht="15" hidden="false" customHeight="false" outlineLevel="0" collapsed="false">
      <c r="A116" s="0" t="str">
        <f aca="false">IF(Consolidated!B119="","",Consolidated!B119&amp;"|"&amp;TEXT(Consolidated!C119,"yyyymmdd")&amp;"|"&amp;HOUR(Consolidated!D119))</f>
        <v>Auto|20260707|11</v>
      </c>
      <c r="B116" s="0" t="str">
        <f aca="false">IF(Consolidated!B119="","",SUBSTITUTE(SUBSTITUTE(TEXT(Consolidated!D119,"h:mm AM/PM")," AM","a")," PM","p")&amp;IF(Consolidated!E119="",""," "&amp;Consolidated!E119)&amp;IF(Consolidated!H119="",""," "&amp;Consolidated!H119))</f>
        <v>11:00a C-M-P</v>
      </c>
      <c r="C116" s="0" t="str">
        <f aca="false">IF(Consolidated!B119="","",Consolidated!B119&amp;"|"&amp;TEXT(Consolidated!C119,"yyyymmdd"))</f>
        <v>Auto|20260707</v>
      </c>
      <c r="D116" s="0" t="str">
        <f aca="false">IF(Consolidated!I119="","",Consolidated!I119)</f>
        <v/>
      </c>
    </row>
    <row r="117" customFormat="false" ht="15" hidden="false" customHeight="false" outlineLevel="0" collapsed="false">
      <c r="A117" s="0" t="str">
        <f aca="false">IF(Consolidated!B120="","",Consolidated!B120&amp;"|"&amp;TEXT(Consolidated!C120,"yyyymmdd")&amp;"|"&amp;HOUR(Consolidated!D120))</f>
        <v>Auto|20260707|14</v>
      </c>
      <c r="B117" s="0" t="str">
        <f aca="false">IF(Consolidated!B120="","",SUBSTITUTE(SUBSTITUTE(TEXT(Consolidated!D120,"h:mm AM/PM")," AM","a")," PM","p")&amp;IF(Consolidated!E120="",""," "&amp;Consolidated!E120)&amp;IF(Consolidated!H120="",""," "&amp;Consolidated!H120))</f>
        <v>2:00p WFO</v>
      </c>
      <c r="C117" s="0" t="str">
        <f aca="false">IF(Consolidated!B120="","",Consolidated!B120&amp;"|"&amp;TEXT(Consolidated!C120,"yyyymmdd"))</f>
        <v>Auto|20260707</v>
      </c>
      <c r="D117" s="0" t="str">
        <f aca="false">IF(Consolidated!I120="","",Consolidated!I120)</f>
        <v/>
      </c>
    </row>
    <row r="118" customFormat="false" ht="15" hidden="false" customHeight="false" outlineLevel="0" collapsed="false">
      <c r="A118" s="0" t="str">
        <f aca="false">IF(Consolidated!B121="","",Consolidated!B121&amp;"|"&amp;TEXT(Consolidated!C121,"yyyymmdd")&amp;"|"&amp;HOUR(Consolidated!D121))</f>
        <v>Auto|20260707|17</v>
      </c>
      <c r="B118" s="0" t="str">
        <f aca="false">IF(Consolidated!B121="","",SUBSTITUTE(SUBSTITUTE(TEXT(Consolidated!D121,"h:mm AM/PM")," AM","a")," PM","p")&amp;IF(Consolidated!E121="",""," "&amp;Consolidated!E121)&amp;IF(Consolidated!H121="",""," "&amp;Consolidated!H121))</f>
        <v>5:00p Blitz</v>
      </c>
      <c r="C118" s="0" t="str">
        <f aca="false">IF(Consolidated!B121="","",Consolidated!B121&amp;"|"&amp;TEXT(Consolidated!C121,"yyyymmdd"))</f>
        <v>Auto|20260707</v>
      </c>
      <c r="D118" s="0" t="str">
        <f aca="false">IF(Consolidated!I121="","",Consolidated!I121)</f>
        <v/>
      </c>
    </row>
    <row r="119" customFormat="false" ht="15" hidden="false" customHeight="false" outlineLevel="0" collapsed="false">
      <c r="A119" s="0" t="str">
        <f aca="false">IF(Consolidated!B122="","",Consolidated!B122&amp;"|"&amp;TEXT(Consolidated!C122,"yyyymmdd")&amp;"|"&amp;HOUR(Consolidated!D122))</f>
        <v>Auto|20260707|20</v>
      </c>
      <c r="B119" s="0" t="str">
        <f aca="false">IF(Consolidated!B122="","",SUBSTITUTE(SUBSTITUTE(TEXT(Consolidated!D122,"h:mm AM/PM")," AM","a")," PM","p")&amp;IF(Consolidated!E122="",""," "&amp;Consolidated!E122)&amp;IF(Consolidated!H122="",""," "&amp;Consolidated!H122))</f>
        <v>8:00p TSC (All)</v>
      </c>
      <c r="C119" s="0" t="str">
        <f aca="false">IF(Consolidated!B122="","",Consolidated!B122&amp;"|"&amp;TEXT(Consolidated!C122,"yyyymmdd"))</f>
        <v>Auto|20260707</v>
      </c>
      <c r="D119" s="0" t="str">
        <f aca="false">IF(Consolidated!I122="","",Consolidated!I122)</f>
        <v/>
      </c>
    </row>
    <row r="120" customFormat="false" ht="15" hidden="false" customHeight="false" outlineLevel="0" collapsed="false">
      <c r="A120" s="0" t="str">
        <f aca="false">IF(Consolidated!B123="","",Consolidated!B123&amp;"|"&amp;TEXT(Consolidated!C123,"yyyymmdd")&amp;"|"&amp;HOUR(Consolidated!D123))</f>
        <v>BE|20260707|8</v>
      </c>
      <c r="B120" s="0" t="str">
        <f aca="false">IF(Consolidated!B123="","",SUBSTITUTE(SUBSTITUTE(TEXT(Consolidated!D123,"h:mm AM/PM")," AM","a")," PM","p")&amp;IF(Consolidated!E123="",""," "&amp;Consolidated!E123)&amp;IF(Consolidated!H123="",""," "&amp;Consolidated!H123))</f>
        <v>8:15a E</v>
      </c>
      <c r="C120" s="0" t="str">
        <f aca="false">IF(Consolidated!B123="","",Consolidated!B123&amp;"|"&amp;TEXT(Consolidated!C123,"yyyymmdd"))</f>
        <v>BE|20260707</v>
      </c>
      <c r="D120" s="0" t="str">
        <f aca="false">IF(Consolidated!I123="","",Consolidated!I123)</f>
        <v/>
      </c>
    </row>
    <row r="121" customFormat="false" ht="15" hidden="false" customHeight="false" outlineLevel="0" collapsed="false">
      <c r="A121" s="0" t="str">
        <f aca="false">IF(Consolidated!B124="","",Consolidated!B124&amp;"|"&amp;TEXT(Consolidated!C124,"yyyymmdd")&amp;"|"&amp;HOUR(Consolidated!D124))</f>
        <v>BE|20260707|9</v>
      </c>
      <c r="B121" s="0" t="str">
        <f aca="false">IF(Consolidated!B124="","",SUBSTITUTE(SUBSTITUTE(TEXT(Consolidated!D124,"h:mm AM/PM")," AM","a")," PM","p")&amp;IF(Consolidated!E124="",""," "&amp;Consolidated!E124)&amp;IF(Consolidated!H124="",""," "&amp;Consolidated!H124))</f>
        <v>9:15a C</v>
      </c>
      <c r="C121" s="0" t="str">
        <f aca="false">IF(Consolidated!B124="","",Consolidated!B124&amp;"|"&amp;TEXT(Consolidated!C124,"yyyymmdd"))</f>
        <v>BE|20260707</v>
      </c>
      <c r="D121" s="0" t="str">
        <f aca="false">IF(Consolidated!I124="","",Consolidated!I124)</f>
        <v/>
      </c>
    </row>
    <row r="122" customFormat="false" ht="15" hidden="false" customHeight="false" outlineLevel="0" collapsed="false">
      <c r="A122" s="0" t="str">
        <f aca="false">IF(Consolidated!B125="","",Consolidated!B125&amp;"|"&amp;TEXT(Consolidated!C125,"yyyymmdd")&amp;"|"&amp;HOUR(Consolidated!D125))</f>
        <v>BE|20260707|11</v>
      </c>
      <c r="B122" s="0" t="str">
        <f aca="false">IF(Consolidated!B125="","",SUBSTITUTE(SUBSTITUTE(TEXT(Consolidated!D125,"h:mm AM/PM")," AM","a")," PM","p")&amp;IF(Consolidated!E125="",""," "&amp;Consolidated!E125)&amp;IF(Consolidated!H125="",""," "&amp;Consolidated!H125))</f>
        <v>11:30a M-P</v>
      </c>
      <c r="C122" s="0" t="str">
        <f aca="false">IF(Consolidated!B125="","",Consolidated!B125&amp;"|"&amp;TEXT(Consolidated!C125,"yyyymmdd"))</f>
        <v>BE|20260707</v>
      </c>
      <c r="D122" s="0" t="str">
        <f aca="false">IF(Consolidated!I125="","",Consolidated!I125)</f>
        <v/>
      </c>
    </row>
    <row r="123" customFormat="false" ht="15" hidden="false" customHeight="false" outlineLevel="0" collapsed="false">
      <c r="A123" s="0" t="str">
        <f aca="false">IF(Consolidated!B126="","",Consolidated!B126&amp;"|"&amp;TEXT(Consolidated!C126,"yyyymmdd")&amp;"|"&amp;HOUR(Consolidated!D126))</f>
        <v>BE|20260707|13</v>
      </c>
      <c r="B123" s="0" t="str">
        <f aca="false">IF(Consolidated!B126="","",SUBSTITUTE(SUBSTITUTE(TEXT(Consolidated!D126,"h:mm AM/PM")," AM","a")," PM","p")&amp;IF(Consolidated!E126="",""," "&amp;Consolidated!E126)&amp;IF(Consolidated!H126="",""," "&amp;Consolidated!H126))</f>
        <v>1:00p WFO</v>
      </c>
      <c r="C123" s="0" t="str">
        <f aca="false">IF(Consolidated!B126="","",Consolidated!B126&amp;"|"&amp;TEXT(Consolidated!C126,"yyyymmdd"))</f>
        <v>BE|20260707</v>
      </c>
      <c r="D123" s="0" t="str">
        <f aca="false">IF(Consolidated!I126="","",Consolidated!I126)</f>
        <v/>
      </c>
    </row>
    <row r="124" customFormat="false" ht="15" hidden="false" customHeight="false" outlineLevel="0" collapsed="false">
      <c r="A124" s="0" t="str">
        <f aca="false">IF(Consolidated!B127="","",Consolidated!B127&amp;"|"&amp;TEXT(Consolidated!C127,"yyyymmdd")&amp;"|"&amp;HOUR(Consolidated!D127))</f>
        <v>BE|20260707|15</v>
      </c>
      <c r="B124" s="0" t="str">
        <f aca="false">IF(Consolidated!B127="","",SUBSTITUTE(SUBSTITUTE(TEXT(Consolidated!D127,"h:mm AM/PM")," AM","a")," PM","p")&amp;IF(Consolidated!E127="",""," "&amp;Consolidated!E127)&amp;IF(Consolidated!H127="",""," "&amp;Consolidated!H127))</f>
        <v>3:30p All</v>
      </c>
      <c r="C124" s="0" t="str">
        <f aca="false">IF(Consolidated!B127="","",Consolidated!B127&amp;"|"&amp;TEXT(Consolidated!C127,"yyyymmdd"))</f>
        <v>BE|20260707</v>
      </c>
      <c r="D124" s="0" t="str">
        <f aca="false">IF(Consolidated!I127="","",Consolidated!I127)</f>
        <v/>
      </c>
    </row>
    <row r="125" customFormat="false" ht="15" hidden="false" customHeight="false" outlineLevel="0" collapsed="false">
      <c r="A125" s="0" t="str">
        <f aca="false">IF(Consolidated!B128="","",Consolidated!B128&amp;"|"&amp;TEXT(Consolidated!C128,"yyyymmdd")&amp;"|"&amp;HOUR(Consolidated!D128))</f>
        <v>BE|20260707|17</v>
      </c>
      <c r="B125" s="0" t="str">
        <f aca="false">IF(Consolidated!B128="","",SUBSTITUTE(SUBSTITUTE(TEXT(Consolidated!D128,"h:mm AM/PM")," AM","a")," PM","p")&amp;IF(Consolidated!E128="",""," "&amp;Consolidated!E128)&amp;IF(Consolidated!H128="",""," "&amp;Consolidated!H128))</f>
        <v>5:00p All</v>
      </c>
      <c r="C125" s="0" t="str">
        <f aca="false">IF(Consolidated!B128="","",Consolidated!B128&amp;"|"&amp;TEXT(Consolidated!C128,"yyyymmdd"))</f>
        <v>BE|20260707</v>
      </c>
      <c r="D125" s="0" t="str">
        <f aca="false">IF(Consolidated!I128="","",Consolidated!I128)</f>
        <v/>
      </c>
    </row>
    <row r="126" customFormat="false" ht="15" hidden="false" customHeight="false" outlineLevel="0" collapsed="false">
      <c r="A126" s="0" t="str">
        <f aca="false">IF(Consolidated!B129="","",Consolidated!B129&amp;"|"&amp;TEXT(Consolidated!C129,"yyyymmdd")&amp;"|"&amp;HOUR(Consolidated!D129))</f>
        <v>BE|20260707|20</v>
      </c>
      <c r="B126" s="0" t="str">
        <f aca="false">IF(Consolidated!B129="","",SUBSTITUTE(SUBSTITUTE(TEXT(Consolidated!D129,"h:mm AM/PM")," AM","a")," PM","p")&amp;IF(Consolidated!E129="",""," "&amp;Consolidated!E129)&amp;IF(Consolidated!H129="",""," "&amp;Consolidated!H129))</f>
        <v>8:00p TSC (All)</v>
      </c>
      <c r="C126" s="0" t="str">
        <f aca="false">IF(Consolidated!B129="","",Consolidated!B129&amp;"|"&amp;TEXT(Consolidated!C129,"yyyymmdd"))</f>
        <v>BE|20260707</v>
      </c>
      <c r="D126" s="0" t="str">
        <f aca="false">IF(Consolidated!I129="","",Consolidated!I129)</f>
        <v/>
      </c>
    </row>
    <row r="127" customFormat="false" ht="15" hidden="false" customHeight="false" outlineLevel="0" collapsed="false">
      <c r="A127" s="0" t="str">
        <f aca="false">IF(Consolidated!B130="","",Consolidated!B130&amp;"|"&amp;TEXT(Consolidated!C130,"yyyymmdd")&amp;"|"&amp;HOUR(Consolidated!D130))</f>
        <v>Branch Central|20260707|12</v>
      </c>
      <c r="B127" s="0" t="str">
        <f aca="false">IF(Consolidated!B130="","",SUBSTITUTE(SUBSTITUTE(TEXT(Consolidated!D130,"h:mm AM/PM")," AM","a")," PM","p")&amp;IF(Consolidated!E130="",""," "&amp;Consolidated!E130)&amp;IF(Consolidated!H130="",""," "&amp;Consolidated!H130))</f>
        <v>12:30p E-C 1s &amp; Slow</v>
      </c>
      <c r="C127" s="0" t="str">
        <f aca="false">IF(Consolidated!B130="","",Consolidated!B130&amp;"|"&amp;TEXT(Consolidated!C130,"yyyymmdd"))</f>
        <v>Branch Central|20260707</v>
      </c>
      <c r="D127" s="0" t="str">
        <f aca="false">IF(Consolidated!I130="","",Consolidated!I130)</f>
        <v/>
      </c>
    </row>
    <row r="128" customFormat="false" ht="15" hidden="false" customHeight="false" outlineLevel="0" collapsed="false">
      <c r="A128" s="0" t="str">
        <f aca="false">IF(Consolidated!B131="","",Consolidated!B131&amp;"|"&amp;TEXT(Consolidated!C131,"yyyymmdd")&amp;"|"&amp;HOUR(Consolidated!D131))</f>
        <v>Branch Central|20260707|18</v>
      </c>
      <c r="B128" s="0" t="str">
        <f aca="false">IF(Consolidated!B131="","",SUBSTITUTE(SUBSTITUTE(TEXT(Consolidated!D131,"h:mm AM/PM")," AM","a")," PM","p")&amp;IF(Consolidated!E131="",""," "&amp;Consolidated!E131)&amp;IF(Consolidated!H131="",""," "&amp;Consolidated!H131))</f>
        <v>6:00p 2Pay (NCs</v>
      </c>
      <c r="C128" s="0" t="str">
        <f aca="false">IF(Consolidated!B131="","",Consolidated!B131&amp;"|"&amp;TEXT(Consolidated!C131,"yyyymmdd"))</f>
        <v>Branch Central|20260707</v>
      </c>
      <c r="D128" s="0" t="str">
        <f aca="false">IF(Consolidated!I131="","",Consolidated!I131)</f>
        <v/>
      </c>
    </row>
    <row r="129" customFormat="false" ht="15" hidden="false" customHeight="false" outlineLevel="0" collapsed="false">
      <c r="A129" s="0" t="str">
        <f aca="false">IF(Consolidated!B132="","",Consolidated!B132&amp;"|"&amp;TEXT(Consolidated!C132,"yyyymmdd")&amp;"|"&amp;HOUR(Consolidated!D132))</f>
        <v>Branch Vendor|20260707|18</v>
      </c>
      <c r="B129" s="0" t="str">
        <f aca="false">IF(Consolidated!B132="","",SUBSTITUTE(SUBSTITUTE(TEXT(Consolidated!D132,"h:mm AM/PM")," AM","a")," PM","p")&amp;IF(Consolidated!E132="",""," "&amp;Consolidated!E132)&amp;IF(Consolidated!H132="",""," "&amp;Consolidated!H132))</f>
        <v>6:00p Vendor</v>
      </c>
      <c r="C129" s="0" t="str">
        <f aca="false">IF(Consolidated!B132="","",Consolidated!B132&amp;"|"&amp;TEXT(Consolidated!C132,"yyyymmdd"))</f>
        <v>Branch Vendor|20260707</v>
      </c>
      <c r="D129" s="0" t="str">
        <f aca="false">IF(Consolidated!I132="","",Consolidated!I132)</f>
        <v/>
      </c>
    </row>
    <row r="130" customFormat="false" ht="15" hidden="false" customHeight="false" outlineLevel="0" collapsed="false">
      <c r="A130" s="0" t="str">
        <f aca="false">IF(Consolidated!B133="","",Consolidated!B133&amp;"|"&amp;TEXT(Consolidated!C133,"yyyymmdd")&amp;"|"&amp;HOUR(Consolidated!D133))</f>
        <v>Card|20260707|8</v>
      </c>
      <c r="B130" s="0" t="str">
        <f aca="false">IF(Consolidated!B133="","",SUBSTITUTE(SUBSTITUTE(TEXT(Consolidated!D133,"h:mm AM/PM")," AM","a")," PM","p")&amp;IF(Consolidated!E133="",""," "&amp;Consolidated!E133)&amp;IF(Consolidated!H133="",""," "&amp;Consolidated!H133))</f>
        <v>8:00a</v>
      </c>
      <c r="C130" s="0" t="str">
        <f aca="false">IF(Consolidated!B133="","",Consolidated!B133&amp;"|"&amp;TEXT(Consolidated!C133,"yyyymmdd"))</f>
        <v>Card|20260707</v>
      </c>
      <c r="D130" s="0" t="str">
        <f aca="false">IF(Consolidated!I133="","",Consolidated!I133)</f>
        <v/>
      </c>
    </row>
    <row r="131" customFormat="false" ht="15" hidden="false" customHeight="false" outlineLevel="0" collapsed="false">
      <c r="A131" s="0" t="str">
        <f aca="false">IF(Consolidated!B134="","",Consolidated!B134&amp;"|"&amp;TEXT(Consolidated!C134,"yyyymmdd")&amp;"|"&amp;HOUR(Consolidated!D134))</f>
        <v>Card|20260707|12</v>
      </c>
      <c r="B131" s="0" t="str">
        <f aca="false">IF(Consolidated!B134="","",SUBSTITUTE(SUBSTITUTE(TEXT(Consolidated!D134,"h:mm AM/PM")," AM","a")," PM","p")&amp;IF(Consolidated!E134="",""," "&amp;Consolidated!E134)&amp;IF(Consolidated!H134="",""," "&amp;Consolidated!H134))</f>
        <v>12:00p</v>
      </c>
      <c r="C131" s="0" t="str">
        <f aca="false">IF(Consolidated!B134="","",Consolidated!B134&amp;"|"&amp;TEXT(Consolidated!C134,"yyyymmdd"))</f>
        <v>Card|20260707</v>
      </c>
      <c r="D131" s="0" t="str">
        <f aca="false">IF(Consolidated!I134="","",Consolidated!I134)</f>
        <v/>
      </c>
    </row>
    <row r="132" customFormat="false" ht="15" hidden="false" customHeight="false" outlineLevel="0" collapsed="false">
      <c r="A132" s="0" t="str">
        <f aca="false">IF(Consolidated!B135="","",Consolidated!B135&amp;"|"&amp;TEXT(Consolidated!C135,"yyyymmdd")&amp;"|"&amp;HOUR(Consolidated!D135))</f>
        <v>Card|20260707|14</v>
      </c>
      <c r="B132" s="0" t="str">
        <f aca="false">IF(Consolidated!B135="","",SUBSTITUTE(SUBSTITUTE(TEXT(Consolidated!D135,"h:mm AM/PM")," AM","a")," PM","p")&amp;IF(Consolidated!E135="",""," "&amp;Consolidated!E135)&amp;IF(Consolidated!H135="",""," "&amp;Consolidated!H135))</f>
        <v>2:00p ASAP</v>
      </c>
      <c r="C132" s="0" t="str">
        <f aca="false">IF(Consolidated!B135="","",Consolidated!B135&amp;"|"&amp;TEXT(Consolidated!C135,"yyyymmdd"))</f>
        <v>Card|20260707</v>
      </c>
      <c r="D132" s="0" t="str">
        <f aca="false">IF(Consolidated!I135="","",Consolidated!I135)</f>
        <v/>
      </c>
    </row>
    <row r="133" customFormat="false" ht="15" hidden="false" customHeight="false" outlineLevel="0" collapsed="false">
      <c r="A133" s="0" t="str">
        <f aca="false">IF(Consolidated!B136="","",Consolidated!B136&amp;"|"&amp;TEXT(Consolidated!C136,"yyyymmdd")&amp;"|"&amp;HOUR(Consolidated!D136))</f>
        <v>Card|20260707|16</v>
      </c>
      <c r="B133" s="0" t="str">
        <f aca="false">IF(Consolidated!B136="","",SUBSTITUTE(SUBSTITUTE(TEXT(Consolidated!D136,"h:mm AM/PM")," AM","a")," PM","p")&amp;IF(Consolidated!E136="",""," "&amp;Consolidated!E136)&amp;IF(Consolidated!H136="",""," "&amp;Consolidated!H136))</f>
        <v>4:00p ASAP</v>
      </c>
      <c r="C133" s="0" t="str">
        <f aca="false">IF(Consolidated!B136="","",Consolidated!B136&amp;"|"&amp;TEXT(Consolidated!C136,"yyyymmdd"))</f>
        <v>Card|20260707</v>
      </c>
      <c r="D133" s="0" t="str">
        <f aca="false">IF(Consolidated!I136="","",Consolidated!I136)</f>
        <v/>
      </c>
    </row>
    <row r="134" customFormat="false" ht="15" hidden="false" customHeight="false" outlineLevel="0" collapsed="false">
      <c r="A134" s="0" t="str">
        <f aca="false">IF(Consolidated!B137="","",Consolidated!B137&amp;"|"&amp;TEXT(Consolidated!C137,"yyyymmdd")&amp;"|"&amp;HOUR(Consolidated!D137))</f>
        <v>Card|20260707|18</v>
      </c>
      <c r="B134" s="0" t="str">
        <f aca="false">IF(Consolidated!B137="","",SUBSTITUTE(SUBSTITUTE(TEXT(Consolidated!D137,"h:mm AM/PM")," AM","a")," PM","p")&amp;IF(Consolidated!E137="",""," "&amp;Consolidated!E137)&amp;IF(Consolidated!H137="",""," "&amp;Consolidated!H137))</f>
        <v>6:00p ASAP</v>
      </c>
      <c r="C134" s="0" t="str">
        <f aca="false">IF(Consolidated!B137="","",Consolidated!B137&amp;"|"&amp;TEXT(Consolidated!C137,"yyyymmdd"))</f>
        <v>Card|20260707</v>
      </c>
      <c r="D134" s="0" t="str">
        <f aca="false">IF(Consolidated!I137="","",Consolidated!I137)</f>
        <v/>
      </c>
    </row>
    <row r="135" customFormat="false" ht="15" hidden="false" customHeight="false" outlineLevel="0" collapsed="false">
      <c r="A135" s="0" t="str">
        <f aca="false">IF(Consolidated!B138="","",Consolidated!B138&amp;"|"&amp;TEXT(Consolidated!C138,"yyyymmdd")&amp;"|"&amp;HOUR(Consolidated!D138))</f>
        <v>Card|20260707|12</v>
      </c>
      <c r="B135" s="0" t="str">
        <f aca="false">IF(Consolidated!B138="","",SUBSTITUTE(SUBSTITUTE(TEXT(Consolidated!D138,"h:mm AM/PM")," AM","a")," PM","p")&amp;IF(Consolidated!E138="",""," "&amp;Consolidated!E138)&amp;IF(Consolidated!H138="",""," "&amp;Consolidated!H138))</f>
        <v>12:30p</v>
      </c>
      <c r="C135" s="0" t="str">
        <f aca="false">IF(Consolidated!B138="","",Consolidated!B138&amp;"|"&amp;TEXT(Consolidated!C138,"yyyymmdd"))</f>
        <v>Card|20260707</v>
      </c>
      <c r="D135" s="0" t="str">
        <f aca="false">IF(Consolidated!I138="","",Consolidated!I138)</f>
        <v/>
      </c>
    </row>
    <row r="136" customFormat="false" ht="15" hidden="false" customHeight="false" outlineLevel="0" collapsed="false">
      <c r="A136" s="0" t="str">
        <f aca="false">IF(Consolidated!B139="","",Consolidated!B139&amp;"|"&amp;TEXT(Consolidated!C139,"yyyymmdd")&amp;"|"&amp;HOUR(Consolidated!D139))</f>
        <v>Card|20260707|6</v>
      </c>
      <c r="B136" s="0" t="str">
        <f aca="false">IF(Consolidated!B139="","",SUBSTITUTE(SUBSTITUTE(TEXT(Consolidated!D139,"h:mm AM/PM")," AM","a")," PM","p")&amp;IF(Consolidated!E139="",""," "&amp;Consolidated!E139)&amp;IF(Consolidated!H139="",""," "&amp;Consolidated!H139))</f>
        <v>6:00a</v>
      </c>
      <c r="C136" s="0" t="str">
        <f aca="false">IF(Consolidated!B139="","",Consolidated!B139&amp;"|"&amp;TEXT(Consolidated!C139,"yyyymmdd"))</f>
        <v>Card|20260707</v>
      </c>
      <c r="D136" s="0" t="str">
        <f aca="false">IF(Consolidated!I139="","",Consolidated!I139)</f>
        <v/>
      </c>
    </row>
    <row r="137" customFormat="false" ht="15" hidden="false" customHeight="false" outlineLevel="0" collapsed="false">
      <c r="A137" s="0" t="str">
        <f aca="false">IF(Consolidated!B140="","",Consolidated!B140&amp;"|"&amp;TEXT(Consolidated!C140,"yyyymmdd")&amp;"|"&amp;HOUR(Consolidated!D140))</f>
        <v>FE|20260707|8</v>
      </c>
      <c r="B137" s="0" t="str">
        <f aca="false">IF(Consolidated!B140="","",SUBSTITUTE(SUBSTITUTE(TEXT(Consolidated!D140,"h:mm AM/PM")," AM","a")," PM","p")&amp;IF(Consolidated!E140="",""," "&amp;Consolidated!E140)&amp;IF(Consolidated!H140="",""," "&amp;Consolidated!H140))</f>
        <v>8:15a E</v>
      </c>
      <c r="C137" s="0" t="str">
        <f aca="false">IF(Consolidated!B140="","",Consolidated!B140&amp;"|"&amp;TEXT(Consolidated!C140,"yyyymmdd"))</f>
        <v>FE|20260707</v>
      </c>
      <c r="D137" s="0" t="str">
        <f aca="false">IF(Consolidated!I140="","",Consolidated!I140)</f>
        <v/>
      </c>
    </row>
    <row r="138" customFormat="false" ht="15" hidden="false" customHeight="false" outlineLevel="0" collapsed="false">
      <c r="A138" s="0" t="str">
        <f aca="false">IF(Consolidated!B141="","",Consolidated!B141&amp;"|"&amp;TEXT(Consolidated!C141,"yyyymmdd")&amp;"|"&amp;HOUR(Consolidated!D141))</f>
        <v>FE|20260707|9</v>
      </c>
      <c r="B138" s="0" t="str">
        <f aca="false">IF(Consolidated!B141="","",SUBSTITUTE(SUBSTITUTE(TEXT(Consolidated!D141,"h:mm AM/PM")," AM","a")," PM","p")&amp;IF(Consolidated!E141="",""," "&amp;Consolidated!E141)&amp;IF(Consolidated!H141="",""," "&amp;Consolidated!H141))</f>
        <v>9:15a C</v>
      </c>
      <c r="C138" s="0" t="str">
        <f aca="false">IF(Consolidated!B141="","",Consolidated!B141&amp;"|"&amp;TEXT(Consolidated!C141,"yyyymmdd"))</f>
        <v>FE|20260707</v>
      </c>
      <c r="D138" s="0" t="str">
        <f aca="false">IF(Consolidated!I141="","",Consolidated!I141)</f>
        <v/>
      </c>
    </row>
    <row r="139" customFormat="false" ht="15" hidden="false" customHeight="false" outlineLevel="0" collapsed="false">
      <c r="A139" s="0" t="str">
        <f aca="false">IF(Consolidated!B142="","",Consolidated!B142&amp;"|"&amp;TEXT(Consolidated!C142,"yyyymmdd")&amp;"|"&amp;HOUR(Consolidated!D142))</f>
        <v>FE|20260707|11</v>
      </c>
      <c r="B139" s="0" t="str">
        <f aca="false">IF(Consolidated!B142="","",SUBSTITUTE(SUBSTITUTE(TEXT(Consolidated!D142,"h:mm AM/PM")," AM","a")," PM","p")&amp;IF(Consolidated!E142="",""," "&amp;Consolidated!E142)&amp;IF(Consolidated!H142="",""," "&amp;Consolidated!H142))</f>
        <v>11:30a M-P</v>
      </c>
      <c r="C139" s="0" t="str">
        <f aca="false">IF(Consolidated!B142="","",Consolidated!B142&amp;"|"&amp;TEXT(Consolidated!C142,"yyyymmdd"))</f>
        <v>FE|20260707</v>
      </c>
      <c r="D139" s="0" t="str">
        <f aca="false">IF(Consolidated!I142="","",Consolidated!I142)</f>
        <v/>
      </c>
    </row>
    <row r="140" customFormat="false" ht="15" hidden="false" customHeight="false" outlineLevel="0" collapsed="false">
      <c r="A140" s="0" t="str">
        <f aca="false">IF(Consolidated!B143="","",Consolidated!B143&amp;"|"&amp;TEXT(Consolidated!C143,"yyyymmdd")&amp;"|"&amp;HOUR(Consolidated!D143))</f>
        <v>FE|20260707|12</v>
      </c>
      <c r="B140" s="0" t="str">
        <f aca="false">IF(Consolidated!B143="","",SUBSTITUTE(SUBSTITUTE(TEXT(Consolidated!D143,"h:mm AM/PM")," AM","a")," PM","p")&amp;IF(Consolidated!E143="",""," "&amp;Consolidated!E143)&amp;IF(Consolidated!H143="",""," "&amp;Consolidated!H143))</f>
        <v>12:30p Branch</v>
      </c>
      <c r="C140" s="0" t="str">
        <f aca="false">IF(Consolidated!B143="","",Consolidated!B143&amp;"|"&amp;TEXT(Consolidated!C143,"yyyymmdd"))</f>
        <v>FE|20260707</v>
      </c>
      <c r="D140" s="0" t="str">
        <f aca="false">IF(Consolidated!I143="","",Consolidated!I143)</f>
        <v/>
      </c>
    </row>
    <row r="141" customFormat="false" ht="15" hidden="false" customHeight="false" outlineLevel="0" collapsed="false">
      <c r="A141" s="0" t="str">
        <f aca="false">IF(Consolidated!B144="","",Consolidated!B144&amp;"|"&amp;TEXT(Consolidated!C144,"yyyymmdd")&amp;"|"&amp;HOUR(Consolidated!D144))</f>
        <v>FE|20260707|13</v>
      </c>
      <c r="B141" s="0" t="str">
        <f aca="false">IF(Consolidated!B144="","",SUBSTITUTE(SUBSTITUTE(TEXT(Consolidated!D144,"h:mm AM/PM")," AM","a")," PM","p")&amp;IF(Consolidated!E144="",""," "&amp;Consolidated!E144)&amp;IF(Consolidated!H144="",""," "&amp;Consolidated!H144))</f>
        <v>1:30p WFO</v>
      </c>
      <c r="C141" s="0" t="str">
        <f aca="false">IF(Consolidated!B144="","",Consolidated!B144&amp;"|"&amp;TEXT(Consolidated!C144,"yyyymmdd"))</f>
        <v>FE|20260707</v>
      </c>
      <c r="D141" s="0" t="str">
        <f aca="false">IF(Consolidated!I144="","",Consolidated!I144)</f>
        <v/>
      </c>
    </row>
    <row r="142" customFormat="false" ht="15" hidden="false" customHeight="false" outlineLevel="0" collapsed="false">
      <c r="A142" s="0" t="str">
        <f aca="false">IF(Consolidated!B145="","",Consolidated!B145&amp;"|"&amp;TEXT(Consolidated!C145,"yyyymmdd")&amp;"|"&amp;HOUR(Consolidated!D145))</f>
        <v>FE|20260707|17</v>
      </c>
      <c r="B142" s="0" t="str">
        <f aca="false">IF(Consolidated!B145="","",SUBSTITUTE(SUBSTITUTE(TEXT(Consolidated!D145,"h:mm AM/PM")," AM","a")," PM","p")&amp;IF(Consolidated!E145="",""," "&amp;Consolidated!E145)&amp;IF(Consolidated!H145="",""," "&amp;Consolidated!H145))</f>
        <v>5:00p Blitz</v>
      </c>
      <c r="C142" s="0" t="str">
        <f aca="false">IF(Consolidated!B145="","",Consolidated!B145&amp;"|"&amp;TEXT(Consolidated!C145,"yyyymmdd"))</f>
        <v>FE|20260707</v>
      </c>
      <c r="D142" s="0" t="str">
        <f aca="false">IF(Consolidated!I145="","",Consolidated!I145)</f>
        <v/>
      </c>
    </row>
    <row r="143" customFormat="false" ht="15" hidden="false" customHeight="false" outlineLevel="0" collapsed="false">
      <c r="A143" s="0" t="str">
        <f aca="false">IF(Consolidated!B146="","",Consolidated!B146&amp;"|"&amp;TEXT(Consolidated!C146,"yyyymmdd")&amp;"|"&amp;HOUR(Consolidated!D146))</f>
        <v>FE|20260707|20</v>
      </c>
      <c r="B143" s="0" t="str">
        <f aca="false">IF(Consolidated!B146="","",SUBSTITUTE(SUBSTITUTE(TEXT(Consolidated!D146,"h:mm AM/PM")," AM","a")," PM","p")&amp;IF(Consolidated!E146="",""," "&amp;Consolidated!E146)&amp;IF(Consolidated!H146="",""," "&amp;Consolidated!H146))</f>
        <v>8:00p TSC (All)</v>
      </c>
      <c r="C143" s="0" t="str">
        <f aca="false">IF(Consolidated!B146="","",Consolidated!B146&amp;"|"&amp;TEXT(Consolidated!C146,"yyyymmdd"))</f>
        <v>FE|20260707</v>
      </c>
      <c r="D143" s="0" t="str">
        <f aca="false">IF(Consolidated!I146="","",Consolidated!I146)</f>
        <v/>
      </c>
    </row>
    <row r="144" customFormat="false" ht="15" hidden="false" customHeight="false" outlineLevel="0" collapsed="false">
      <c r="A144" s="0" t="str">
        <f aca="false">IF(Consolidated!B147="","",Consolidated!B147&amp;"|"&amp;TEXT(Consolidated!C147,"yyyymmdd")&amp;"|"&amp;HOUR(Consolidated!D147))</f>
        <v>Optional Products|20260707|0</v>
      </c>
      <c r="B144" s="0" t="str">
        <f aca="false">IF(Consolidated!B147="","",SUBSTITUTE(SUBSTITUTE(TEXT(Consolidated!D147,"h:mm AM/PM")," AM","a")," PM","p")&amp;IF(Consolidated!E147="",""," "&amp;Consolidated!E147)&amp;IF(Consolidated!H147="",""," "&amp;Consolidated!H147))</f>
        <v>12:00a Second</v>
      </c>
      <c r="C144" s="0" t="str">
        <f aca="false">IF(Consolidated!B147="","",Consolidated!B147&amp;"|"&amp;TEXT(Consolidated!C147,"yyyymmdd"))</f>
        <v>Optional Products|20260707</v>
      </c>
      <c r="D144" s="0" t="str">
        <f aca="false">IF(Consolidated!I147="","",Consolidated!I147)</f>
        <v>Priority Order: Second</v>
      </c>
    </row>
    <row r="145" customFormat="false" ht="15" hidden="false" customHeight="false" outlineLevel="0" collapsed="false">
      <c r="A145" s="0" t="str">
        <f aca="false">IF(Consolidated!B148="","",Consolidated!B148&amp;"|"&amp;TEXT(Consolidated!C148,"yyyymmdd")&amp;"|"&amp;HOUR(Consolidated!D148))</f>
        <v>PCO|20260707|8</v>
      </c>
      <c r="B145" s="0" t="str">
        <f aca="false">IF(Consolidated!B148="","",SUBSTITUTE(SUBSTITUTE(TEXT(Consolidated!D148,"h:mm AM/PM")," AM","a")," PM","p")&amp;IF(Consolidated!E148="",""," "&amp;Consolidated!E148)&amp;IF(Consolidated!H148="",""," "&amp;Consolidated!H148))</f>
        <v>8:15a E</v>
      </c>
      <c r="C145" s="0" t="str">
        <f aca="false">IF(Consolidated!B148="","",Consolidated!B148&amp;"|"&amp;TEXT(Consolidated!C148,"yyyymmdd"))</f>
        <v>PCO|20260707</v>
      </c>
      <c r="D145" s="0" t="str">
        <f aca="false">IF(Consolidated!I148="","",Consolidated!I148)</f>
        <v/>
      </c>
    </row>
    <row r="146" customFormat="false" ht="15" hidden="false" customHeight="false" outlineLevel="0" collapsed="false">
      <c r="A146" s="0" t="str">
        <f aca="false">IF(Consolidated!B149="","",Consolidated!B149&amp;"|"&amp;TEXT(Consolidated!C149,"yyyymmdd")&amp;"|"&amp;HOUR(Consolidated!D149))</f>
        <v>PCO|20260707|11</v>
      </c>
      <c r="B146" s="0" t="str">
        <f aca="false">IF(Consolidated!B149="","",SUBSTITUTE(SUBSTITUTE(TEXT(Consolidated!D149,"h:mm AM/PM")," AM","a")," PM","p")&amp;IF(Consolidated!E149="",""," "&amp;Consolidated!E149)&amp;IF(Consolidated!H149="",""," "&amp;Consolidated!H149))</f>
        <v>11:15a C-M-P</v>
      </c>
      <c r="C146" s="0" t="str">
        <f aca="false">IF(Consolidated!B149="","",Consolidated!B149&amp;"|"&amp;TEXT(Consolidated!C149,"yyyymmdd"))</f>
        <v>PCO|20260707</v>
      </c>
      <c r="D146" s="0" t="str">
        <f aca="false">IF(Consolidated!I149="","",Consolidated!I149)</f>
        <v/>
      </c>
    </row>
    <row r="147" customFormat="false" ht="15" hidden="false" customHeight="false" outlineLevel="0" collapsed="false">
      <c r="A147" s="0" t="str">
        <f aca="false">IF(Consolidated!B150="","",Consolidated!B150&amp;"|"&amp;TEXT(Consolidated!C150,"yyyymmdd")&amp;"|"&amp;HOUR(Consolidated!D150))</f>
        <v>PCO|20260707|13</v>
      </c>
      <c r="B147" s="0" t="str">
        <f aca="false">IF(Consolidated!B150="","",SUBSTITUTE(SUBSTITUTE(TEXT(Consolidated!D150,"h:mm AM/PM")," AM","a")," PM","p")&amp;IF(Consolidated!E150="",""," "&amp;Consolidated!E150)&amp;IF(Consolidated!H150="",""," "&amp;Consolidated!H150))</f>
        <v>1:00p WFO</v>
      </c>
      <c r="C147" s="0" t="str">
        <f aca="false">IF(Consolidated!B150="","",Consolidated!B150&amp;"|"&amp;TEXT(Consolidated!C150,"yyyymmdd"))</f>
        <v>PCO|20260707</v>
      </c>
      <c r="D147" s="0" t="str">
        <f aca="false">IF(Consolidated!I150="","",Consolidated!I150)</f>
        <v/>
      </c>
    </row>
    <row r="148" customFormat="false" ht="15" hidden="false" customHeight="false" outlineLevel="0" collapsed="false">
      <c r="A148" s="0" t="str">
        <f aca="false">IF(Consolidated!B151="","",Consolidated!B151&amp;"|"&amp;TEXT(Consolidated!C151,"yyyymmdd")&amp;"|"&amp;HOUR(Consolidated!D151))</f>
        <v>PCO|20260707|15</v>
      </c>
      <c r="B148" s="0" t="str">
        <f aca="false">IF(Consolidated!B151="","",SUBSTITUTE(SUBSTITUTE(TEXT(Consolidated!D151,"h:mm AM/PM")," AM","a")," PM","p")&amp;IF(Consolidated!E151="",""," "&amp;Consolidated!E151)&amp;IF(Consolidated!H151="",""," "&amp;Consolidated!H151))</f>
        <v>3:00p All</v>
      </c>
      <c r="C148" s="0" t="str">
        <f aca="false">IF(Consolidated!B151="","",Consolidated!B151&amp;"|"&amp;TEXT(Consolidated!C151,"yyyymmdd"))</f>
        <v>PCO|20260707</v>
      </c>
      <c r="D148" s="0" t="str">
        <f aca="false">IF(Consolidated!I151="","",Consolidated!I151)</f>
        <v/>
      </c>
    </row>
    <row r="149" customFormat="false" ht="15" hidden="false" customHeight="false" outlineLevel="0" collapsed="false">
      <c r="A149" s="0" t="str">
        <f aca="false">IF(Consolidated!B152="","",Consolidated!B152&amp;"|"&amp;TEXT(Consolidated!C152,"yyyymmdd")&amp;"|"&amp;HOUR(Consolidated!D152))</f>
        <v>PCO|20260707|20</v>
      </c>
      <c r="B149" s="0" t="str">
        <f aca="false">IF(Consolidated!B152="","",SUBSTITUTE(SUBSTITUTE(TEXT(Consolidated!D152,"h:mm AM/PM")," AM","a")," PM","p")&amp;IF(Consolidated!E152="",""," "&amp;Consolidated!E152)&amp;IF(Consolidated!H152="",""," "&amp;Consolidated!H152))</f>
        <v>8:00p TSC (All)</v>
      </c>
      <c r="C149" s="0" t="str">
        <f aca="false">IF(Consolidated!B152="","",Consolidated!B152&amp;"|"&amp;TEXT(Consolidated!C152,"yyyymmdd"))</f>
        <v>PCO|20260707</v>
      </c>
      <c r="D149" s="0" t="str">
        <f aca="false">IF(Consolidated!I152="","",Consolidated!I152)</f>
        <v/>
      </c>
    </row>
    <row r="150" customFormat="false" ht="15" hidden="false" customHeight="false" outlineLevel="0" collapsed="false">
      <c r="A150" s="0" t="str">
        <f aca="false">IF(Consolidated!B153="","",Consolidated!B153&amp;"|"&amp;TEXT(Consolidated!C153,"yyyymmdd")&amp;"|"&amp;HOUR(Consolidated!D153))</f>
        <v>Repo|20260707|9</v>
      </c>
      <c r="B150" s="0" t="str">
        <f aca="false">IF(Consolidated!B153="","",SUBSTITUTE(SUBSTITUTE(TEXT(Consolidated!D153,"h:mm AM/PM")," AM","a")," PM","p")&amp;IF(Consolidated!E153="",""," "&amp;Consolidated!E153)&amp;IF(Consolidated!H153="",""," "&amp;Consolidated!H153))</f>
        <v>9:00a Repo</v>
      </c>
      <c r="C150" s="0" t="str">
        <f aca="false">IF(Consolidated!B153="","",Consolidated!B153&amp;"|"&amp;TEXT(Consolidated!C153,"yyyymmdd"))</f>
        <v>Repo|20260707</v>
      </c>
      <c r="D150" s="0" t="str">
        <f aca="false">IF(Consolidated!I153="","",Consolidated!I153)</f>
        <v>AM Daily</v>
      </c>
    </row>
    <row r="151" customFormat="false" ht="15" hidden="false" customHeight="false" outlineLevel="0" collapsed="false">
      <c r="A151" s="0" t="str">
        <f aca="false">IF(Consolidated!B154="","",Consolidated!B154&amp;"|"&amp;TEXT(Consolidated!C154,"yyyymmdd")&amp;"|"&amp;HOUR(Consolidated!D154))</f>
        <v>Repo|20260707|10</v>
      </c>
      <c r="B151" s="0" t="str">
        <f aca="false">IF(Consolidated!B154="","",SUBSTITUTE(SUBSTITUTE(TEXT(Consolidated!D154,"h:mm AM/PM")," AM","a")," PM","p")&amp;IF(Consolidated!E154="",""," "&amp;Consolidated!E154)&amp;IF(Consolidated!H154="",""," "&amp;Consolidated!H154))</f>
        <v>10:00a RP</v>
      </c>
      <c r="C151" s="0" t="str">
        <f aca="false">IF(Consolidated!B154="","",Consolidated!B154&amp;"|"&amp;TEXT(Consolidated!C154,"yyyymmdd"))</f>
        <v>Repo|20260707</v>
      </c>
      <c r="D151" s="0" t="str">
        <f aca="false">IF(Consolidated!I154="","",Consolidated!I154)</f>
        <v/>
      </c>
    </row>
    <row r="152" customFormat="false" ht="15" hidden="false" customHeight="false" outlineLevel="0" collapsed="false">
      <c r="A152" s="0" t="str">
        <f aca="false">IF(Consolidated!B155="","",Consolidated!B155&amp;"|"&amp;TEXT(Consolidated!C155,"yyyymmdd")&amp;"|"&amp;HOUR(Consolidated!D155))</f>
        <v>Repo|20260707|14</v>
      </c>
      <c r="B152" s="0" t="str">
        <f aca="false">IF(Consolidated!B155="","",SUBSTITUTE(SUBSTITUTE(TEXT(Consolidated!D155,"h:mm AM/PM")," AM","a")," PM","p")&amp;IF(Consolidated!E155="",""," "&amp;Consolidated!E155)&amp;IF(Consolidated!H155="",""," "&amp;Consolidated!H155))</f>
        <v>2:00p Repo</v>
      </c>
      <c r="C152" s="0" t="str">
        <f aca="false">IF(Consolidated!B155="","",Consolidated!B155&amp;"|"&amp;TEXT(Consolidated!C155,"yyyymmdd"))</f>
        <v>Repo|20260707</v>
      </c>
      <c r="D152" s="0" t="str">
        <f aca="false">IF(Consolidated!I155="","",Consolidated!I155)</f>
        <v/>
      </c>
    </row>
    <row r="153" customFormat="false" ht="15" hidden="false" customHeight="false" outlineLevel="0" collapsed="false">
      <c r="A153" s="0" t="str">
        <f aca="false">IF(Consolidated!B156="","",Consolidated!B156&amp;"|"&amp;TEXT(Consolidated!C156,"yyyymmdd")&amp;"|"&amp;HOUR(Consolidated!D156))</f>
        <v>ARC|20260708|11</v>
      </c>
      <c r="B153" s="0" t="str">
        <f aca="false">IF(Consolidated!B156="","",SUBSTITUTE(SUBSTITUTE(TEXT(Consolidated!D156,"h:mm AM/PM")," AM","a")," PM","p")&amp;IF(Consolidated!E156="",""," "&amp;Consolidated!E156)&amp;IF(Consolidated!H156="",""," "&amp;Consolidated!H156))</f>
        <v>11:30a NCs</v>
      </c>
      <c r="C153" s="0" t="str">
        <f aca="false">IF(Consolidated!B156="","",Consolidated!B156&amp;"|"&amp;TEXT(Consolidated!C156,"yyyymmdd"))</f>
        <v>ARC|20260708</v>
      </c>
      <c r="D153" s="0" t="str">
        <f aca="false">IF(Consolidated!I156="","",Consolidated!I156)</f>
        <v>Broken Promise / Recent Pay / Dialer Only</v>
      </c>
    </row>
    <row r="154" customFormat="false" ht="15" hidden="false" customHeight="false" outlineLevel="0" collapsed="false">
      <c r="A154" s="0" t="str">
        <f aca="false">IF(Consolidated!B157="","",Consolidated!B157&amp;"|"&amp;TEXT(Consolidated!C157,"yyyymmdd")&amp;"|"&amp;HOUR(Consolidated!D157))</f>
        <v>ARC|20260708|15</v>
      </c>
      <c r="B154" s="0" t="str">
        <f aca="false">IF(Consolidated!B157="","",SUBSTITUTE(SUBSTITUTE(TEXT(Consolidated!D157,"h:mm AM/PM")," AM","a")," PM","p")&amp;IF(Consolidated!E157="",""," "&amp;Consolidated!E157)&amp;IF(Consolidated!H157="",""," "&amp;Consolidated!H157))</f>
        <v>3:30p All</v>
      </c>
      <c r="C154" s="0" t="str">
        <f aca="false">IF(Consolidated!B157="","",Consolidated!B157&amp;"|"&amp;TEXT(Consolidated!C157,"yyyymmdd"))</f>
        <v>ARC|20260708</v>
      </c>
      <c r="D154" s="0" t="str">
        <f aca="false">IF(Consolidated!I157="","",Consolidated!I157)</f>
        <v>Broken Promise / Recent Pay / Dialer Only</v>
      </c>
    </row>
    <row r="155" customFormat="false" ht="15" hidden="false" customHeight="false" outlineLevel="0" collapsed="false">
      <c r="A155" s="0" t="str">
        <f aca="false">IF(Consolidated!B158="","",Consolidated!B158&amp;"|"&amp;TEXT(Consolidated!C158,"yyyymmdd")&amp;"|"&amp;HOUR(Consolidated!D158))</f>
        <v>Auto|20260708|8</v>
      </c>
      <c r="B155" s="0" t="str">
        <f aca="false">IF(Consolidated!B158="","",SUBSTITUTE(SUBSTITUTE(TEXT(Consolidated!D158,"h:mm AM/PM")," AM","a")," PM","p")&amp;IF(Consolidated!E158="",""," "&amp;Consolidated!E158)&amp;IF(Consolidated!H158="",""," "&amp;Consolidated!H158))</f>
        <v>8:30a E AMs</v>
      </c>
      <c r="C155" s="0" t="str">
        <f aca="false">IF(Consolidated!B158="","",Consolidated!B158&amp;"|"&amp;TEXT(Consolidated!C158,"yyyymmdd"))</f>
        <v>Auto|20260708</v>
      </c>
      <c r="D155" s="0" t="str">
        <f aca="false">IF(Consolidated!I158="","",Consolidated!I158)</f>
        <v>Slowpay AM Daily</v>
      </c>
    </row>
    <row r="156" customFormat="false" ht="15" hidden="false" customHeight="false" outlineLevel="0" collapsed="false">
      <c r="A156" s="0" t="str">
        <f aca="false">IF(Consolidated!B159="","",Consolidated!B159&amp;"|"&amp;TEXT(Consolidated!C159,"yyyymmdd")&amp;"|"&amp;HOUR(Consolidated!D159))</f>
        <v>Auto|20260708|11</v>
      </c>
      <c r="B156" s="0" t="str">
        <f aca="false">IF(Consolidated!B159="","",SUBSTITUTE(SUBSTITUTE(TEXT(Consolidated!D159,"h:mm AM/PM")," AM","a")," PM","p")&amp;IF(Consolidated!E159="",""," "&amp;Consolidated!E159)&amp;IF(Consolidated!H159="",""," "&amp;Consolidated!H159))</f>
        <v>11:30a C-M-P AMs</v>
      </c>
      <c r="C156" s="0" t="str">
        <f aca="false">IF(Consolidated!B159="","",Consolidated!B159&amp;"|"&amp;TEXT(Consolidated!C159,"yyyymmdd"))</f>
        <v>Auto|20260708</v>
      </c>
      <c r="D156" s="0" t="str">
        <f aca="false">IF(Consolidated!I159="","",Consolidated!I159)</f>
        <v/>
      </c>
    </row>
    <row r="157" customFormat="false" ht="15" hidden="false" customHeight="false" outlineLevel="0" collapsed="false">
      <c r="A157" s="0" t="str">
        <f aca="false">IF(Consolidated!B160="","",Consolidated!B160&amp;"|"&amp;TEXT(Consolidated!C160,"yyyymmdd")&amp;"|"&amp;HOUR(Consolidated!D160))</f>
        <v>Auto|20260708|13</v>
      </c>
      <c r="B157" s="0" t="str">
        <f aca="false">IF(Consolidated!B160="","",SUBSTITUTE(SUBSTITUTE(TEXT(Consolidated!D160,"h:mm AM/PM")," AM","a")," PM","p")&amp;IF(Consolidated!E160="",""," "&amp;Consolidated!E160)&amp;IF(Consolidated!H160="",""," "&amp;Consolidated!H160))</f>
        <v>1:30p WFO</v>
      </c>
      <c r="C157" s="0" t="str">
        <f aca="false">IF(Consolidated!B160="","",Consolidated!B160&amp;"|"&amp;TEXT(Consolidated!C160,"yyyymmdd"))</f>
        <v>Auto|20260708</v>
      </c>
      <c r="D157" s="0" t="str">
        <f aca="false">IF(Consolidated!I160="","",Consolidated!I160)</f>
        <v/>
      </c>
    </row>
    <row r="158" customFormat="false" ht="15" hidden="false" customHeight="false" outlineLevel="0" collapsed="false">
      <c r="A158" s="0" t="str">
        <f aca="false">IF(Consolidated!B161="","",Consolidated!B161&amp;"|"&amp;TEXT(Consolidated!C161,"yyyymmdd")&amp;"|"&amp;HOUR(Consolidated!D161))</f>
        <v>Auto|20260708|17</v>
      </c>
      <c r="B158" s="0" t="str">
        <f aca="false">IF(Consolidated!B161="","",SUBSTITUTE(SUBSTITUTE(TEXT(Consolidated!D161,"h:mm AM/PM")," AM","a")," PM","p")&amp;IF(Consolidated!E161="",""," "&amp;Consolidated!E161)&amp;IF(Consolidated!H161="",""," "&amp;Consolidated!H161))</f>
        <v>5:00p Blitz</v>
      </c>
      <c r="C158" s="0" t="str">
        <f aca="false">IF(Consolidated!B161="","",Consolidated!B161&amp;"|"&amp;TEXT(Consolidated!C161,"yyyymmdd"))</f>
        <v>Auto|20260708</v>
      </c>
      <c r="D158" s="0" t="str">
        <f aca="false">IF(Consolidated!I161="","",Consolidated!I161)</f>
        <v/>
      </c>
    </row>
    <row r="159" customFormat="false" ht="15" hidden="false" customHeight="false" outlineLevel="0" collapsed="false">
      <c r="A159" s="0" t="str">
        <f aca="false">IF(Consolidated!B162="","",Consolidated!B162&amp;"|"&amp;TEXT(Consolidated!C162,"yyyymmdd")&amp;"|"&amp;HOUR(Consolidated!D162))</f>
        <v>Auto|20260708|20</v>
      </c>
      <c r="B159" s="0" t="str">
        <f aca="false">IF(Consolidated!B162="","",SUBSTITUTE(SUBSTITUTE(TEXT(Consolidated!D162,"h:mm AM/PM")," AM","a")," PM","p")&amp;IF(Consolidated!E162="",""," "&amp;Consolidated!E162)&amp;IF(Consolidated!H162="",""," "&amp;Consolidated!H162))</f>
        <v>8:00p TSC (All)</v>
      </c>
      <c r="C159" s="0" t="str">
        <f aca="false">IF(Consolidated!B162="","",Consolidated!B162&amp;"|"&amp;TEXT(Consolidated!C162,"yyyymmdd"))</f>
        <v>Auto|20260708</v>
      </c>
      <c r="D159" s="0" t="str">
        <f aca="false">IF(Consolidated!I162="","",Consolidated!I162)</f>
        <v/>
      </c>
    </row>
    <row r="160" customFormat="false" ht="15" hidden="false" customHeight="false" outlineLevel="0" collapsed="false">
      <c r="A160" s="0" t="str">
        <f aca="false">IF(Consolidated!B163="","",Consolidated!B163&amp;"|"&amp;TEXT(Consolidated!C163,"yyyymmdd")&amp;"|"&amp;HOUR(Consolidated!D163))</f>
        <v>BE|20260708|9</v>
      </c>
      <c r="B160" s="0" t="str">
        <f aca="false">IF(Consolidated!B163="","",SUBSTITUTE(SUBSTITUTE(TEXT(Consolidated!D163,"h:mm AM/PM")," AM","a")," PM","p")&amp;IF(Consolidated!E163="",""," "&amp;Consolidated!E163)&amp;IF(Consolidated!H163="",""," "&amp;Consolidated!H163))</f>
        <v>9:15a E-C AMs</v>
      </c>
      <c r="C160" s="0" t="str">
        <f aca="false">IF(Consolidated!B163="","",Consolidated!B163&amp;"|"&amp;TEXT(Consolidated!C163,"yyyymmdd"))</f>
        <v>BE|20260708</v>
      </c>
      <c r="D160" s="0" t="str">
        <f aca="false">IF(Consolidated!I163="","",Consolidated!I163)</f>
        <v/>
      </c>
    </row>
    <row r="161" customFormat="false" ht="15" hidden="false" customHeight="false" outlineLevel="0" collapsed="false">
      <c r="A161" s="0" t="str">
        <f aca="false">IF(Consolidated!B164="","",Consolidated!B164&amp;"|"&amp;TEXT(Consolidated!C164,"yyyymmdd")&amp;"|"&amp;HOUR(Consolidated!D164))</f>
        <v>BE|20260708|11</v>
      </c>
      <c r="B161" s="0" t="str">
        <f aca="false">IF(Consolidated!B164="","",SUBSTITUTE(SUBSTITUTE(TEXT(Consolidated!D164,"h:mm AM/PM")," AM","a")," PM","p")&amp;IF(Consolidated!E164="",""," "&amp;Consolidated!E164)&amp;IF(Consolidated!H164="",""," "&amp;Consolidated!H164))</f>
        <v>11:30a M-P AMs</v>
      </c>
      <c r="C161" s="0" t="str">
        <f aca="false">IF(Consolidated!B164="","",Consolidated!B164&amp;"|"&amp;TEXT(Consolidated!C164,"yyyymmdd"))</f>
        <v>BE|20260708</v>
      </c>
      <c r="D161" s="0" t="str">
        <f aca="false">IF(Consolidated!I164="","",Consolidated!I164)</f>
        <v/>
      </c>
    </row>
    <row r="162" customFormat="false" ht="15" hidden="false" customHeight="false" outlineLevel="0" collapsed="false">
      <c r="A162" s="0" t="str">
        <f aca="false">IF(Consolidated!B165="","",Consolidated!B165&amp;"|"&amp;TEXT(Consolidated!C165,"yyyymmdd")&amp;"|"&amp;HOUR(Consolidated!D165))</f>
        <v>BE|20260708|13</v>
      </c>
      <c r="B162" s="0" t="str">
        <f aca="false">IF(Consolidated!B165="","",SUBSTITUTE(SUBSTITUTE(TEXT(Consolidated!D165,"h:mm AM/PM")," AM","a")," PM","p")&amp;IF(Consolidated!E165="",""," "&amp;Consolidated!E165)&amp;IF(Consolidated!H165="",""," "&amp;Consolidated!H165))</f>
        <v>1:00p WFO</v>
      </c>
      <c r="C162" s="0" t="str">
        <f aca="false">IF(Consolidated!B165="","",Consolidated!B165&amp;"|"&amp;TEXT(Consolidated!C165,"yyyymmdd"))</f>
        <v>BE|20260708</v>
      </c>
      <c r="D162" s="0" t="str">
        <f aca="false">IF(Consolidated!I165="","",Consolidated!I165)</f>
        <v/>
      </c>
    </row>
    <row r="163" customFormat="false" ht="15" hidden="false" customHeight="false" outlineLevel="0" collapsed="false">
      <c r="A163" s="0" t="str">
        <f aca="false">IF(Consolidated!B166="","",Consolidated!B166&amp;"|"&amp;TEXT(Consolidated!C166,"yyyymmdd")&amp;"|"&amp;HOUR(Consolidated!D166))</f>
        <v>BE|20260708|17</v>
      </c>
      <c r="B163" s="0" t="str">
        <f aca="false">IF(Consolidated!B166="","",SUBSTITUTE(SUBSTITUTE(TEXT(Consolidated!D166,"h:mm AM/PM")," AM","a")," PM","p")&amp;IF(Consolidated!E166="",""," "&amp;Consolidated!E166)&amp;IF(Consolidated!H166="",""," "&amp;Consolidated!H166))</f>
        <v>5:00p Blitz</v>
      </c>
      <c r="C163" s="0" t="str">
        <f aca="false">IF(Consolidated!B166="","",Consolidated!B166&amp;"|"&amp;TEXT(Consolidated!C166,"yyyymmdd"))</f>
        <v>BE|20260708</v>
      </c>
      <c r="D163" s="0" t="str">
        <f aca="false">IF(Consolidated!I166="","",Consolidated!I166)</f>
        <v/>
      </c>
    </row>
    <row r="164" customFormat="false" ht="15" hidden="false" customHeight="false" outlineLevel="0" collapsed="false">
      <c r="A164" s="0" t="str">
        <f aca="false">IF(Consolidated!B167="","",Consolidated!B167&amp;"|"&amp;TEXT(Consolidated!C167,"yyyymmdd")&amp;"|"&amp;HOUR(Consolidated!D167))</f>
        <v>BE|20260708|20</v>
      </c>
      <c r="B164" s="0" t="str">
        <f aca="false">IF(Consolidated!B167="","",SUBSTITUTE(SUBSTITUTE(TEXT(Consolidated!D167,"h:mm AM/PM")," AM","a")," PM","p")&amp;IF(Consolidated!E167="",""," "&amp;Consolidated!E167)&amp;IF(Consolidated!H167="",""," "&amp;Consolidated!H167))</f>
        <v>8:00p TSC (All)</v>
      </c>
      <c r="C164" s="0" t="str">
        <f aca="false">IF(Consolidated!B167="","",Consolidated!B167&amp;"|"&amp;TEXT(Consolidated!C167,"yyyymmdd"))</f>
        <v>BE|20260708</v>
      </c>
      <c r="D164" s="0" t="str">
        <f aca="false">IF(Consolidated!I167="","",Consolidated!I167)</f>
        <v/>
      </c>
    </row>
    <row r="165" customFormat="false" ht="15" hidden="false" customHeight="false" outlineLevel="0" collapsed="false">
      <c r="A165" s="0" t="str">
        <f aca="false">IF(Consolidated!B168="","",Consolidated!B168&amp;"|"&amp;TEXT(Consolidated!C168,"yyyymmdd")&amp;"|"&amp;HOUR(Consolidated!D168))</f>
        <v>Branch Central|20260708|12</v>
      </c>
      <c r="B165" s="0" t="str">
        <f aca="false">IF(Consolidated!B168="","",SUBSTITUTE(SUBSTITUTE(TEXT(Consolidated!D168,"h:mm AM/PM")," AM","a")," PM","p")&amp;IF(Consolidated!E168="",""," "&amp;Consolidated!E168)&amp;IF(Consolidated!H168="",""," "&amp;Consolidated!H168))</f>
        <v>12:30p E-C 1s &amp; Slow</v>
      </c>
      <c r="C165" s="0" t="str">
        <f aca="false">IF(Consolidated!B168="","",Consolidated!B168&amp;"|"&amp;TEXT(Consolidated!C168,"yyyymmdd"))</f>
        <v>Branch Central|20260708</v>
      </c>
      <c r="D165" s="0" t="str">
        <f aca="false">IF(Consolidated!I168="","",Consolidated!I168)</f>
        <v/>
      </c>
    </row>
    <row r="166" customFormat="false" ht="15" hidden="false" customHeight="false" outlineLevel="0" collapsed="false">
      <c r="A166" s="0" t="str">
        <f aca="false">IF(Consolidated!B169="","",Consolidated!B169&amp;"|"&amp;TEXT(Consolidated!C169,"yyyymmdd")&amp;"|"&amp;HOUR(Consolidated!D169))</f>
        <v>Branch Vendor|20260708|18</v>
      </c>
      <c r="B166" s="0" t="str">
        <f aca="false">IF(Consolidated!B169="","",SUBSTITUTE(SUBSTITUTE(TEXT(Consolidated!D169,"h:mm AM/PM")," AM","a")," PM","p")&amp;IF(Consolidated!E169="",""," "&amp;Consolidated!E169)&amp;IF(Consolidated!H169="",""," "&amp;Consolidated!H169))</f>
        <v>6:00p Vendor</v>
      </c>
      <c r="C166" s="0" t="str">
        <f aca="false">IF(Consolidated!B169="","",Consolidated!B169&amp;"|"&amp;TEXT(Consolidated!C169,"yyyymmdd"))</f>
        <v>Branch Vendor|20260708</v>
      </c>
      <c r="D166" s="0" t="str">
        <f aca="false">IF(Consolidated!I169="","",Consolidated!I169)</f>
        <v/>
      </c>
    </row>
    <row r="167" customFormat="false" ht="15" hidden="false" customHeight="false" outlineLevel="0" collapsed="false">
      <c r="A167" s="0" t="str">
        <f aca="false">IF(Consolidated!B170="","",Consolidated!B170&amp;"|"&amp;TEXT(Consolidated!C170,"yyyymmdd")&amp;"|"&amp;HOUR(Consolidated!D170))</f>
        <v>Card|20260708|8</v>
      </c>
      <c r="B167" s="0" t="str">
        <f aca="false">IF(Consolidated!B170="","",SUBSTITUTE(SUBSTITUTE(TEXT(Consolidated!D170,"h:mm AM/PM")," AM","a")," PM","p")&amp;IF(Consolidated!E170="",""," "&amp;Consolidated!E170)&amp;IF(Consolidated!H170="",""," "&amp;Consolidated!H170))</f>
        <v>8:00a</v>
      </c>
      <c r="C167" s="0" t="str">
        <f aca="false">IF(Consolidated!B170="","",Consolidated!B170&amp;"|"&amp;TEXT(Consolidated!C170,"yyyymmdd"))</f>
        <v>Card|20260708</v>
      </c>
      <c r="D167" s="0" t="str">
        <f aca="false">IF(Consolidated!I170="","",Consolidated!I170)</f>
        <v/>
      </c>
    </row>
    <row r="168" customFormat="false" ht="15" hidden="false" customHeight="false" outlineLevel="0" collapsed="false">
      <c r="A168" s="0" t="str">
        <f aca="false">IF(Consolidated!B171="","",Consolidated!B171&amp;"|"&amp;TEXT(Consolidated!C171,"yyyymmdd")&amp;"|"&amp;HOUR(Consolidated!D171))</f>
        <v>Card|20260708|12</v>
      </c>
      <c r="B168" s="0" t="str">
        <f aca="false">IF(Consolidated!B171="","",SUBSTITUTE(SUBSTITUTE(TEXT(Consolidated!D171,"h:mm AM/PM")," AM","a")," PM","p")&amp;IF(Consolidated!E171="",""," "&amp;Consolidated!E171)&amp;IF(Consolidated!H171="",""," "&amp;Consolidated!H171))</f>
        <v>12:00p</v>
      </c>
      <c r="C168" s="0" t="str">
        <f aca="false">IF(Consolidated!B171="","",Consolidated!B171&amp;"|"&amp;TEXT(Consolidated!C171,"yyyymmdd"))</f>
        <v>Card|20260708</v>
      </c>
      <c r="D168" s="0" t="str">
        <f aca="false">IF(Consolidated!I171="","",Consolidated!I171)</f>
        <v/>
      </c>
    </row>
    <row r="169" customFormat="false" ht="15" hidden="false" customHeight="false" outlineLevel="0" collapsed="false">
      <c r="A169" s="0" t="str">
        <f aca="false">IF(Consolidated!B172="","",Consolidated!B172&amp;"|"&amp;TEXT(Consolidated!C172,"yyyymmdd")&amp;"|"&amp;HOUR(Consolidated!D172))</f>
        <v>Card|20260708|14</v>
      </c>
      <c r="B169" s="0" t="str">
        <f aca="false">IF(Consolidated!B172="","",SUBSTITUTE(SUBSTITUTE(TEXT(Consolidated!D172,"h:mm AM/PM")," AM","a")," PM","p")&amp;IF(Consolidated!E172="",""," "&amp;Consolidated!E172)&amp;IF(Consolidated!H172="",""," "&amp;Consolidated!H172))</f>
        <v>2:00p ASAP</v>
      </c>
      <c r="C169" s="0" t="str">
        <f aca="false">IF(Consolidated!B172="","",Consolidated!B172&amp;"|"&amp;TEXT(Consolidated!C172,"yyyymmdd"))</f>
        <v>Card|20260708</v>
      </c>
      <c r="D169" s="0" t="str">
        <f aca="false">IF(Consolidated!I172="","",Consolidated!I172)</f>
        <v/>
      </c>
    </row>
    <row r="170" customFormat="false" ht="15" hidden="false" customHeight="false" outlineLevel="0" collapsed="false">
      <c r="A170" s="0" t="str">
        <f aca="false">IF(Consolidated!B173="","",Consolidated!B173&amp;"|"&amp;TEXT(Consolidated!C173,"yyyymmdd")&amp;"|"&amp;HOUR(Consolidated!D173))</f>
        <v>Card|20260708|16</v>
      </c>
      <c r="B170" s="0" t="str">
        <f aca="false">IF(Consolidated!B173="","",SUBSTITUTE(SUBSTITUTE(TEXT(Consolidated!D173,"h:mm AM/PM")," AM","a")," PM","p")&amp;IF(Consolidated!E173="",""," "&amp;Consolidated!E173)&amp;IF(Consolidated!H173="",""," "&amp;Consolidated!H173))</f>
        <v>4:00p ASAP</v>
      </c>
      <c r="C170" s="0" t="str">
        <f aca="false">IF(Consolidated!B173="","",Consolidated!B173&amp;"|"&amp;TEXT(Consolidated!C173,"yyyymmdd"))</f>
        <v>Card|20260708</v>
      </c>
      <c r="D170" s="0" t="str">
        <f aca="false">IF(Consolidated!I173="","",Consolidated!I173)</f>
        <v/>
      </c>
    </row>
    <row r="171" customFormat="false" ht="15" hidden="false" customHeight="false" outlineLevel="0" collapsed="false">
      <c r="A171" s="0" t="str">
        <f aca="false">IF(Consolidated!B174="","",Consolidated!B174&amp;"|"&amp;TEXT(Consolidated!C174,"yyyymmdd")&amp;"|"&amp;HOUR(Consolidated!D174))</f>
        <v>Card|20260708|18</v>
      </c>
      <c r="B171" s="0" t="str">
        <f aca="false">IF(Consolidated!B174="","",SUBSTITUTE(SUBSTITUTE(TEXT(Consolidated!D174,"h:mm AM/PM")," AM","a")," PM","p")&amp;IF(Consolidated!E174="",""," "&amp;Consolidated!E174)&amp;IF(Consolidated!H174="",""," "&amp;Consolidated!H174))</f>
        <v>6:00p ASAP</v>
      </c>
      <c r="C171" s="0" t="str">
        <f aca="false">IF(Consolidated!B174="","",Consolidated!B174&amp;"|"&amp;TEXT(Consolidated!C174,"yyyymmdd"))</f>
        <v>Card|20260708</v>
      </c>
      <c r="D171" s="0" t="str">
        <f aca="false">IF(Consolidated!I174="","",Consolidated!I174)</f>
        <v/>
      </c>
    </row>
    <row r="172" customFormat="false" ht="15" hidden="false" customHeight="false" outlineLevel="0" collapsed="false">
      <c r="A172" s="0" t="str">
        <f aca="false">IF(Consolidated!B175="","",Consolidated!B175&amp;"|"&amp;TEXT(Consolidated!C175,"yyyymmdd")&amp;"|"&amp;HOUR(Consolidated!D175))</f>
        <v>FE|20260708|8</v>
      </c>
      <c r="B172" s="0" t="str">
        <f aca="false">IF(Consolidated!B175="","",SUBSTITUTE(SUBSTITUTE(TEXT(Consolidated!D175,"h:mm AM/PM")," AM","a")," PM","p")&amp;IF(Consolidated!E175="",""," "&amp;Consolidated!E175)&amp;IF(Consolidated!H175="",""," "&amp;Consolidated!H175))</f>
        <v>8:30a E AMs</v>
      </c>
      <c r="C172" s="0" t="str">
        <f aca="false">IF(Consolidated!B175="","",Consolidated!B175&amp;"|"&amp;TEXT(Consolidated!C175,"yyyymmdd"))</f>
        <v>FE|20260708</v>
      </c>
      <c r="D172" s="0" t="str">
        <f aca="false">IF(Consolidated!I175="","",Consolidated!I175)</f>
        <v/>
      </c>
    </row>
    <row r="173" customFormat="false" ht="15" hidden="false" customHeight="false" outlineLevel="0" collapsed="false">
      <c r="A173" s="0" t="str">
        <f aca="false">IF(Consolidated!B176="","",Consolidated!B176&amp;"|"&amp;TEXT(Consolidated!C176,"yyyymmdd")&amp;"|"&amp;HOUR(Consolidated!D176))</f>
        <v>FE|20260708|11</v>
      </c>
      <c r="B173" s="0" t="str">
        <f aca="false">IF(Consolidated!B176="","",SUBSTITUTE(SUBSTITUTE(TEXT(Consolidated!D176,"h:mm AM/PM")," AM","a")," PM","p")&amp;IF(Consolidated!E176="",""," "&amp;Consolidated!E176)&amp;IF(Consolidated!H176="",""," "&amp;Consolidated!H176))</f>
        <v>11:00a C-M-P AMs</v>
      </c>
      <c r="C173" s="0" t="str">
        <f aca="false">IF(Consolidated!B176="","",Consolidated!B176&amp;"|"&amp;TEXT(Consolidated!C176,"yyyymmdd"))</f>
        <v>FE|20260708</v>
      </c>
      <c r="D173" s="0" t="str">
        <f aca="false">IF(Consolidated!I176="","",Consolidated!I176)</f>
        <v/>
      </c>
    </row>
    <row r="174" customFormat="false" ht="15" hidden="false" customHeight="false" outlineLevel="0" collapsed="false">
      <c r="A174" s="0" t="str">
        <f aca="false">IF(Consolidated!B177="","",Consolidated!B177&amp;"|"&amp;TEXT(Consolidated!C177,"yyyymmdd")&amp;"|"&amp;HOUR(Consolidated!D177))</f>
        <v>FE|20260708|12</v>
      </c>
      <c r="B174" s="0" t="str">
        <f aca="false">IF(Consolidated!B177="","",SUBSTITUTE(SUBSTITUTE(TEXT(Consolidated!D177,"h:mm AM/PM")," AM","a")," PM","p")&amp;IF(Consolidated!E177="",""," "&amp;Consolidated!E177)&amp;IF(Consolidated!H177="",""," "&amp;Consolidated!H177))</f>
        <v>12:30p Branch</v>
      </c>
      <c r="C174" s="0" t="str">
        <f aca="false">IF(Consolidated!B177="","",Consolidated!B177&amp;"|"&amp;TEXT(Consolidated!C177,"yyyymmdd"))</f>
        <v>FE|20260708</v>
      </c>
      <c r="D174" s="0" t="str">
        <f aca="false">IF(Consolidated!I177="","",Consolidated!I177)</f>
        <v/>
      </c>
    </row>
    <row r="175" customFormat="false" ht="15" hidden="false" customHeight="false" outlineLevel="0" collapsed="false">
      <c r="A175" s="0" t="str">
        <f aca="false">IF(Consolidated!B178="","",Consolidated!B178&amp;"|"&amp;TEXT(Consolidated!C178,"yyyymmdd")&amp;"|"&amp;HOUR(Consolidated!D178))</f>
        <v>FE|20260708|13</v>
      </c>
      <c r="B175" s="0" t="str">
        <f aca="false">IF(Consolidated!B178="","",SUBSTITUTE(SUBSTITUTE(TEXT(Consolidated!D178,"h:mm AM/PM")," AM","a")," PM","p")&amp;IF(Consolidated!E178="",""," "&amp;Consolidated!E178)&amp;IF(Consolidated!H178="",""," "&amp;Consolidated!H178))</f>
        <v>1:30p WFO</v>
      </c>
      <c r="C175" s="0" t="str">
        <f aca="false">IF(Consolidated!B178="","",Consolidated!B178&amp;"|"&amp;TEXT(Consolidated!C178,"yyyymmdd"))</f>
        <v>FE|20260708</v>
      </c>
      <c r="D175" s="0" t="str">
        <f aca="false">IF(Consolidated!I178="","",Consolidated!I178)</f>
        <v/>
      </c>
    </row>
    <row r="176" customFormat="false" ht="15" hidden="false" customHeight="false" outlineLevel="0" collapsed="false">
      <c r="A176" s="0" t="str">
        <f aca="false">IF(Consolidated!B179="","",Consolidated!B179&amp;"|"&amp;TEXT(Consolidated!C179,"yyyymmdd")&amp;"|"&amp;HOUR(Consolidated!D179))</f>
        <v>FE|20260708|17</v>
      </c>
      <c r="B176" s="0" t="str">
        <f aca="false">IF(Consolidated!B179="","",SUBSTITUTE(SUBSTITUTE(TEXT(Consolidated!D179,"h:mm AM/PM")," AM","a")," PM","p")&amp;IF(Consolidated!E179="",""," "&amp;Consolidated!E179)&amp;IF(Consolidated!H179="",""," "&amp;Consolidated!H179))</f>
        <v>5:00p Blitz</v>
      </c>
      <c r="C176" s="0" t="str">
        <f aca="false">IF(Consolidated!B179="","",Consolidated!B179&amp;"|"&amp;TEXT(Consolidated!C179,"yyyymmdd"))</f>
        <v>FE|20260708</v>
      </c>
      <c r="D176" s="0" t="str">
        <f aca="false">IF(Consolidated!I179="","",Consolidated!I179)</f>
        <v/>
      </c>
    </row>
    <row r="177" customFormat="false" ht="15" hidden="false" customHeight="false" outlineLevel="0" collapsed="false">
      <c r="A177" s="0" t="str">
        <f aca="false">IF(Consolidated!B180="","",Consolidated!B180&amp;"|"&amp;TEXT(Consolidated!C180,"yyyymmdd")&amp;"|"&amp;HOUR(Consolidated!D180))</f>
        <v>FE|20260708|20</v>
      </c>
      <c r="B177" s="0" t="str">
        <f aca="false">IF(Consolidated!B180="","",SUBSTITUTE(SUBSTITUTE(TEXT(Consolidated!D180,"h:mm AM/PM")," AM","a")," PM","p")&amp;IF(Consolidated!E180="",""," "&amp;Consolidated!E180)&amp;IF(Consolidated!H180="",""," "&amp;Consolidated!H180))</f>
        <v>8:00p TSC (All)</v>
      </c>
      <c r="C177" s="0" t="str">
        <f aca="false">IF(Consolidated!B180="","",Consolidated!B180&amp;"|"&amp;TEXT(Consolidated!C180,"yyyymmdd"))</f>
        <v>FE|20260708</v>
      </c>
      <c r="D177" s="0" t="str">
        <f aca="false">IF(Consolidated!I180="","",Consolidated!I180)</f>
        <v/>
      </c>
    </row>
    <row r="178" customFormat="false" ht="15" hidden="false" customHeight="false" outlineLevel="0" collapsed="false">
      <c r="A178" s="0" t="str">
        <f aca="false">IF(Consolidated!B181="","",Consolidated!B181&amp;"|"&amp;TEXT(Consolidated!C181,"yyyymmdd")&amp;"|"&amp;HOUR(Consolidated!D181))</f>
        <v>Optional Products|20260708|0</v>
      </c>
      <c r="B178" s="0" t="str">
        <f aca="false">IF(Consolidated!B181="","",SUBSTITUTE(SUBSTITUTE(TEXT(Consolidated!D181,"h:mm AM/PM")," AM","a")," PM","p")&amp;IF(Consolidated!E181="",""," "&amp;Consolidated!E181)&amp;IF(Consolidated!H181="",""," "&amp;Consolidated!H181))</f>
        <v>12:00a Second</v>
      </c>
      <c r="C178" s="0" t="str">
        <f aca="false">IF(Consolidated!B181="","",Consolidated!B181&amp;"|"&amp;TEXT(Consolidated!C181,"yyyymmdd"))</f>
        <v>Optional Products|20260708</v>
      </c>
      <c r="D178" s="0" t="str">
        <f aca="false">IF(Consolidated!I181="","",Consolidated!I181)</f>
        <v>Priority Order: Second</v>
      </c>
    </row>
    <row r="179" customFormat="false" ht="15" hidden="false" customHeight="false" outlineLevel="0" collapsed="false">
      <c r="A179" s="0" t="str">
        <f aca="false">IF(Consolidated!B182="","",Consolidated!B182&amp;"|"&amp;TEXT(Consolidated!C182,"yyyymmdd")&amp;"|"&amp;HOUR(Consolidated!D182))</f>
        <v>PCO|20260708|9</v>
      </c>
      <c r="B179" s="0" t="str">
        <f aca="false">IF(Consolidated!B182="","",SUBSTITUTE(SUBSTITUTE(TEXT(Consolidated!D182,"h:mm AM/PM")," AM","a")," PM","p")&amp;IF(Consolidated!E182="",""," "&amp;Consolidated!E182)&amp;IF(Consolidated!H182="",""," "&amp;Consolidated!H182))</f>
        <v>9:15a E-C AMs</v>
      </c>
      <c r="C179" s="0" t="str">
        <f aca="false">IF(Consolidated!B182="","",Consolidated!B182&amp;"|"&amp;TEXT(Consolidated!C182,"yyyymmdd"))</f>
        <v>PCO|20260708</v>
      </c>
      <c r="D179" s="0" t="str">
        <f aca="false">IF(Consolidated!I182="","",Consolidated!I182)</f>
        <v/>
      </c>
    </row>
    <row r="180" customFormat="false" ht="15" hidden="false" customHeight="false" outlineLevel="0" collapsed="false">
      <c r="A180" s="0" t="str">
        <f aca="false">IF(Consolidated!B183="","",Consolidated!B183&amp;"|"&amp;TEXT(Consolidated!C183,"yyyymmdd")&amp;"|"&amp;HOUR(Consolidated!D183))</f>
        <v>PCO|20260708|11</v>
      </c>
      <c r="B180" s="0" t="str">
        <f aca="false">IF(Consolidated!B183="","",SUBSTITUTE(SUBSTITUTE(TEXT(Consolidated!D183,"h:mm AM/PM")," AM","a")," PM","p")&amp;IF(Consolidated!E183="",""," "&amp;Consolidated!E183)&amp;IF(Consolidated!H183="",""," "&amp;Consolidated!H183))</f>
        <v>11:15a M-P AMs</v>
      </c>
      <c r="C180" s="0" t="str">
        <f aca="false">IF(Consolidated!B183="","",Consolidated!B183&amp;"|"&amp;TEXT(Consolidated!C183,"yyyymmdd"))</f>
        <v>PCO|20260708</v>
      </c>
      <c r="D180" s="0" t="str">
        <f aca="false">IF(Consolidated!I183="","",Consolidated!I183)</f>
        <v/>
      </c>
    </row>
    <row r="181" customFormat="false" ht="15" hidden="false" customHeight="false" outlineLevel="0" collapsed="false">
      <c r="A181" s="0" t="str">
        <f aca="false">IF(Consolidated!B184="","",Consolidated!B184&amp;"|"&amp;TEXT(Consolidated!C184,"yyyymmdd")&amp;"|"&amp;HOUR(Consolidated!D184))</f>
        <v>PCO|20260708|13</v>
      </c>
      <c r="B181" s="0" t="str">
        <f aca="false">IF(Consolidated!B184="","",SUBSTITUTE(SUBSTITUTE(TEXT(Consolidated!D184,"h:mm AM/PM")," AM","a")," PM","p")&amp;IF(Consolidated!E184="",""," "&amp;Consolidated!E184)&amp;IF(Consolidated!H184="",""," "&amp;Consolidated!H184))</f>
        <v>1:00p WFO</v>
      </c>
      <c r="C181" s="0" t="str">
        <f aca="false">IF(Consolidated!B184="","",Consolidated!B184&amp;"|"&amp;TEXT(Consolidated!C184,"yyyymmdd"))</f>
        <v>PCO|20260708</v>
      </c>
      <c r="D181" s="0" t="str">
        <f aca="false">IF(Consolidated!I184="","",Consolidated!I184)</f>
        <v/>
      </c>
    </row>
    <row r="182" customFormat="false" ht="15" hidden="false" customHeight="false" outlineLevel="0" collapsed="false">
      <c r="A182" s="0" t="str">
        <f aca="false">IF(Consolidated!B185="","",Consolidated!B185&amp;"|"&amp;TEXT(Consolidated!C185,"yyyymmdd")&amp;"|"&amp;HOUR(Consolidated!D185))</f>
        <v>PCO|20260708|17</v>
      </c>
      <c r="B182" s="0" t="str">
        <f aca="false">IF(Consolidated!B185="","",SUBSTITUTE(SUBSTITUTE(TEXT(Consolidated!D185,"h:mm AM/PM")," AM","a")," PM","p")&amp;IF(Consolidated!E185="",""," "&amp;Consolidated!E185)&amp;IF(Consolidated!H185="",""," "&amp;Consolidated!H185))</f>
        <v>5:00p Blitz</v>
      </c>
      <c r="C182" s="0" t="str">
        <f aca="false">IF(Consolidated!B185="","",Consolidated!B185&amp;"|"&amp;TEXT(Consolidated!C185,"yyyymmdd"))</f>
        <v>PCO|20260708</v>
      </c>
      <c r="D182" s="0" t="str">
        <f aca="false">IF(Consolidated!I185="","",Consolidated!I185)</f>
        <v/>
      </c>
    </row>
    <row r="183" customFormat="false" ht="15" hidden="false" customHeight="false" outlineLevel="0" collapsed="false">
      <c r="A183" s="0" t="str">
        <f aca="false">IF(Consolidated!B186="","",Consolidated!B186&amp;"|"&amp;TEXT(Consolidated!C186,"yyyymmdd")&amp;"|"&amp;HOUR(Consolidated!D186))</f>
        <v>PCO|20260708|20</v>
      </c>
      <c r="B183" s="0" t="str">
        <f aca="false">IF(Consolidated!B186="","",SUBSTITUTE(SUBSTITUTE(TEXT(Consolidated!D186,"h:mm AM/PM")," AM","a")," PM","p")&amp;IF(Consolidated!E186="",""," "&amp;Consolidated!E186)&amp;IF(Consolidated!H186="",""," "&amp;Consolidated!H186))</f>
        <v>8:00p TSC (All)</v>
      </c>
      <c r="C183" s="0" t="str">
        <f aca="false">IF(Consolidated!B186="","",Consolidated!B186&amp;"|"&amp;TEXT(Consolidated!C186,"yyyymmdd"))</f>
        <v>PCO|20260708</v>
      </c>
      <c r="D183" s="0" t="str">
        <f aca="false">IF(Consolidated!I186="","",Consolidated!I186)</f>
        <v/>
      </c>
    </row>
    <row r="184" customFormat="false" ht="15" hidden="false" customHeight="false" outlineLevel="0" collapsed="false">
      <c r="A184" s="0" t="str">
        <f aca="false">IF(Consolidated!B187="","",Consolidated!B187&amp;"|"&amp;TEXT(Consolidated!C187,"yyyymmdd")&amp;"|"&amp;HOUR(Consolidated!D187))</f>
        <v>Repo|20260708|8</v>
      </c>
      <c r="B184" s="0" t="str">
        <f aca="false">IF(Consolidated!B187="","",SUBSTITUTE(SUBSTITUTE(TEXT(Consolidated!D187,"h:mm AM/PM")," AM","a")," PM","p")&amp;IF(Consolidated!E187="",""," "&amp;Consolidated!E187)&amp;IF(Consolidated!H187="",""," "&amp;Consolidated!H187))</f>
        <v>8:15a Repo</v>
      </c>
      <c r="C184" s="0" t="str">
        <f aca="false">IF(Consolidated!B187="","",Consolidated!B187&amp;"|"&amp;TEXT(Consolidated!C187,"yyyymmdd"))</f>
        <v>Repo|20260708</v>
      </c>
      <c r="D184" s="0" t="str">
        <f aca="false">IF(Consolidated!I187="","",Consolidated!I187)</f>
        <v>AM Daily</v>
      </c>
    </row>
    <row r="185" customFormat="false" ht="15" hidden="false" customHeight="false" outlineLevel="0" collapsed="false">
      <c r="A185" s="0" t="str">
        <f aca="false">IF(Consolidated!B188="","",Consolidated!B188&amp;"|"&amp;TEXT(Consolidated!C188,"yyyymmdd")&amp;"|"&amp;HOUR(Consolidated!D188))</f>
        <v>Repo|20260708|10</v>
      </c>
      <c r="B185" s="0" t="str">
        <f aca="false">IF(Consolidated!B188="","",SUBSTITUTE(SUBSTITUTE(TEXT(Consolidated!D188,"h:mm AM/PM")," AM","a")," PM","p")&amp;IF(Consolidated!E188="",""," "&amp;Consolidated!E188)&amp;IF(Consolidated!H188="",""," "&amp;Consolidated!H188))</f>
        <v>10:00a Repo</v>
      </c>
      <c r="C185" s="0" t="str">
        <f aca="false">IF(Consolidated!B188="","",Consolidated!B188&amp;"|"&amp;TEXT(Consolidated!C188,"yyyymmdd"))</f>
        <v>Repo|20260708</v>
      </c>
      <c r="D185" s="0" t="str">
        <f aca="false">IF(Consolidated!I188="","",Consolidated!I188)</f>
        <v/>
      </c>
    </row>
    <row r="186" customFormat="false" ht="15" hidden="false" customHeight="false" outlineLevel="0" collapsed="false">
      <c r="A186" s="0" t="str">
        <f aca="false">IF(Consolidated!B189="","",Consolidated!B189&amp;"|"&amp;TEXT(Consolidated!C189,"yyyymmdd")&amp;"|"&amp;HOUR(Consolidated!D189))</f>
        <v>Repo|20260708|12</v>
      </c>
      <c r="B186" s="0" t="str">
        <f aca="false">IF(Consolidated!B189="","",SUBSTITUTE(SUBSTITUTE(TEXT(Consolidated!D189,"h:mm AM/PM")," AM","a")," PM","p")&amp;IF(Consolidated!E189="",""," "&amp;Consolidated!E189)&amp;IF(Consolidated!H189="",""," "&amp;Consolidated!H189))</f>
        <v>12:00p RP</v>
      </c>
      <c r="C186" s="0" t="str">
        <f aca="false">IF(Consolidated!B189="","",Consolidated!B189&amp;"|"&amp;TEXT(Consolidated!C189,"yyyymmdd"))</f>
        <v>Repo|20260708</v>
      </c>
      <c r="D186" s="0" t="str">
        <f aca="false">IF(Consolidated!I189="","",Consolidated!I189)</f>
        <v/>
      </c>
    </row>
    <row r="187" customFormat="false" ht="15" hidden="false" customHeight="false" outlineLevel="0" collapsed="false">
      <c r="A187" s="0" t="str">
        <f aca="false">IF(Consolidated!B190="","",Consolidated!B190&amp;"|"&amp;TEXT(Consolidated!C190,"yyyymmdd")&amp;"|"&amp;HOUR(Consolidated!D190))</f>
        <v>Repo|20260708|14</v>
      </c>
      <c r="B187" s="0" t="str">
        <f aca="false">IF(Consolidated!B190="","",SUBSTITUTE(SUBSTITUTE(TEXT(Consolidated!D190,"h:mm AM/PM")," AM","a")," PM","p")&amp;IF(Consolidated!E190="",""," "&amp;Consolidated!E190)&amp;IF(Consolidated!H190="",""," "&amp;Consolidated!H190))</f>
        <v>2:00p Repo</v>
      </c>
      <c r="C187" s="0" t="str">
        <f aca="false">IF(Consolidated!B190="","",Consolidated!B190&amp;"|"&amp;TEXT(Consolidated!C190,"yyyymmdd"))</f>
        <v>Repo|20260708</v>
      </c>
      <c r="D187" s="0" t="str">
        <f aca="false">IF(Consolidated!I190="","",Consolidated!I190)</f>
        <v/>
      </c>
    </row>
    <row r="188" customFormat="false" ht="15" hidden="false" customHeight="false" outlineLevel="0" collapsed="false">
      <c r="A188" s="0" t="str">
        <f aca="false">IF(Consolidated!B191="","",Consolidated!B191&amp;"|"&amp;TEXT(Consolidated!C191,"yyyymmdd")&amp;"|"&amp;HOUR(Consolidated!D191))</f>
        <v>Auto|20260709|8</v>
      </c>
      <c r="B188" s="0" t="str">
        <f aca="false">IF(Consolidated!B191="","",SUBSTITUTE(SUBSTITUTE(TEXT(Consolidated!D191,"h:mm AM/PM")," AM","a")," PM","p")&amp;IF(Consolidated!E191="",""," "&amp;Consolidated!E191)&amp;IF(Consolidated!H191="",""," "&amp;Consolidated!H191))</f>
        <v>8:30a E</v>
      </c>
      <c r="C188" s="0" t="str">
        <f aca="false">IF(Consolidated!B191="","",Consolidated!B191&amp;"|"&amp;TEXT(Consolidated!C191,"yyyymmdd"))</f>
        <v>Auto|20260709</v>
      </c>
      <c r="D188" s="0" t="str">
        <f aca="false">IF(Consolidated!I191="","",Consolidated!I191)</f>
        <v>Slowpay AM Daily</v>
      </c>
    </row>
    <row r="189" customFormat="false" ht="15" hidden="false" customHeight="false" outlineLevel="0" collapsed="false">
      <c r="A189" s="0" t="str">
        <f aca="false">IF(Consolidated!B192="","",Consolidated!B192&amp;"|"&amp;TEXT(Consolidated!C192,"yyyymmdd")&amp;"|"&amp;HOUR(Consolidated!D192))</f>
        <v>Auto|20260709|11</v>
      </c>
      <c r="B189" s="0" t="str">
        <f aca="false">IF(Consolidated!B192="","",SUBSTITUTE(SUBSTITUTE(TEXT(Consolidated!D192,"h:mm AM/PM")," AM","a")," PM","p")&amp;IF(Consolidated!E192="",""," "&amp;Consolidated!E192)&amp;IF(Consolidated!H192="",""," "&amp;Consolidated!H192))</f>
        <v>11:30a C-M-P</v>
      </c>
      <c r="C189" s="0" t="str">
        <f aca="false">IF(Consolidated!B192="","",Consolidated!B192&amp;"|"&amp;TEXT(Consolidated!C192,"yyyymmdd"))</f>
        <v>Auto|20260709</v>
      </c>
      <c r="D189" s="0" t="str">
        <f aca="false">IF(Consolidated!I192="","",Consolidated!I192)</f>
        <v/>
      </c>
    </row>
    <row r="190" customFormat="false" ht="15" hidden="false" customHeight="false" outlineLevel="0" collapsed="false">
      <c r="A190" s="0" t="str">
        <f aca="false">IF(Consolidated!B193="","",Consolidated!B193&amp;"|"&amp;TEXT(Consolidated!C193,"yyyymmdd")&amp;"|"&amp;HOUR(Consolidated!D193))</f>
        <v>Auto|20260709|14</v>
      </c>
      <c r="B190" s="0" t="str">
        <f aca="false">IF(Consolidated!B193="","",SUBSTITUTE(SUBSTITUTE(TEXT(Consolidated!D193,"h:mm AM/PM")," AM","a")," PM","p")&amp;IF(Consolidated!E193="",""," "&amp;Consolidated!E193)&amp;IF(Consolidated!H193="",""," "&amp;Consolidated!H193))</f>
        <v>2:30p WFO</v>
      </c>
      <c r="C190" s="0" t="str">
        <f aca="false">IF(Consolidated!B193="","",Consolidated!B193&amp;"|"&amp;TEXT(Consolidated!C193,"yyyymmdd"))</f>
        <v>Auto|20260709</v>
      </c>
      <c r="D190" s="0" t="str">
        <f aca="false">IF(Consolidated!I193="","",Consolidated!I193)</f>
        <v/>
      </c>
    </row>
    <row r="191" customFormat="false" ht="15" hidden="false" customHeight="false" outlineLevel="0" collapsed="false">
      <c r="A191" s="0" t="str">
        <f aca="false">IF(Consolidated!B194="","",Consolidated!B194&amp;"|"&amp;TEXT(Consolidated!C194,"yyyymmdd")&amp;"|"&amp;HOUR(Consolidated!D194))</f>
        <v>Auto|20260709|16</v>
      </c>
      <c r="B191" s="0" t="str">
        <f aca="false">IF(Consolidated!B194="","",SUBSTITUTE(SUBSTITUTE(TEXT(Consolidated!D194,"h:mm AM/PM")," AM","a")," PM","p")&amp;IF(Consolidated!E194="",""," "&amp;Consolidated!E194)&amp;IF(Consolidated!H194="",""," "&amp;Consolidated!H194))</f>
        <v>4:00p All</v>
      </c>
      <c r="C191" s="0" t="str">
        <f aca="false">IF(Consolidated!B194="","",Consolidated!B194&amp;"|"&amp;TEXT(Consolidated!C194,"yyyymmdd"))</f>
        <v>Auto|20260709</v>
      </c>
      <c r="D191" s="0" t="str">
        <f aca="false">IF(Consolidated!I194="","",Consolidated!I194)</f>
        <v/>
      </c>
    </row>
    <row r="192" customFormat="false" ht="15" hidden="false" customHeight="false" outlineLevel="0" collapsed="false">
      <c r="A192" s="0" t="str">
        <f aca="false">IF(Consolidated!B195="","",Consolidated!B195&amp;"|"&amp;TEXT(Consolidated!C195,"yyyymmdd")&amp;"|"&amp;HOUR(Consolidated!D195))</f>
        <v>Auto|20260709|20</v>
      </c>
      <c r="B192" s="0" t="str">
        <f aca="false">IF(Consolidated!B195="","",SUBSTITUTE(SUBSTITUTE(TEXT(Consolidated!D195,"h:mm AM/PM")," AM","a")," PM","p")&amp;IF(Consolidated!E195="",""," "&amp;Consolidated!E195)&amp;IF(Consolidated!H195="",""," "&amp;Consolidated!H195))</f>
        <v>8:00p TSC (All)</v>
      </c>
      <c r="C192" s="0" t="str">
        <f aca="false">IF(Consolidated!B195="","",Consolidated!B195&amp;"|"&amp;TEXT(Consolidated!C195,"yyyymmdd"))</f>
        <v>Auto|20260709</v>
      </c>
      <c r="D192" s="0" t="str">
        <f aca="false">IF(Consolidated!I195="","",Consolidated!I195)</f>
        <v/>
      </c>
    </row>
    <row r="193" customFormat="false" ht="15" hidden="false" customHeight="false" outlineLevel="0" collapsed="false">
      <c r="A193" s="0" t="str">
        <f aca="false">IF(Consolidated!B196="","",Consolidated!B196&amp;"|"&amp;TEXT(Consolidated!C196,"yyyymmdd")&amp;"|"&amp;HOUR(Consolidated!D196))</f>
        <v>BE|20260709|10</v>
      </c>
      <c r="B193" s="0" t="str">
        <f aca="false">IF(Consolidated!B196="","",SUBSTITUTE(SUBSTITUTE(TEXT(Consolidated!D196,"h:mm AM/PM")," AM","a")," PM","p")&amp;IF(Consolidated!E196="",""," "&amp;Consolidated!E196)&amp;IF(Consolidated!H196="",""," "&amp;Consolidated!H196))</f>
        <v>10:00a E-C-M</v>
      </c>
      <c r="C193" s="0" t="str">
        <f aca="false">IF(Consolidated!B196="","",Consolidated!B196&amp;"|"&amp;TEXT(Consolidated!C196,"yyyymmdd"))</f>
        <v>BE|20260709</v>
      </c>
      <c r="D193" s="0" t="str">
        <f aca="false">IF(Consolidated!I196="","",Consolidated!I196)</f>
        <v/>
      </c>
    </row>
    <row r="194" customFormat="false" ht="15" hidden="false" customHeight="false" outlineLevel="0" collapsed="false">
      <c r="A194" s="0" t="str">
        <f aca="false">IF(Consolidated!B197="","",Consolidated!B197&amp;"|"&amp;TEXT(Consolidated!C197,"yyyymmdd")&amp;"|"&amp;HOUR(Consolidated!D197))</f>
        <v>BE|20260709|11</v>
      </c>
      <c r="B194" s="0" t="str">
        <f aca="false">IF(Consolidated!B197="","",SUBSTITUTE(SUBSTITUTE(TEXT(Consolidated!D197,"h:mm AM/PM")," AM","a")," PM","p")&amp;IF(Consolidated!E197="",""," "&amp;Consolidated!E197)&amp;IF(Consolidated!H197="",""," "&amp;Consolidated!H197))</f>
        <v>11:30a P</v>
      </c>
      <c r="C194" s="0" t="str">
        <f aca="false">IF(Consolidated!B197="","",Consolidated!B197&amp;"|"&amp;TEXT(Consolidated!C197,"yyyymmdd"))</f>
        <v>BE|20260709</v>
      </c>
      <c r="D194" s="0" t="str">
        <f aca="false">IF(Consolidated!I197="","",Consolidated!I197)</f>
        <v/>
      </c>
    </row>
    <row r="195" customFormat="false" ht="15" hidden="false" customHeight="false" outlineLevel="0" collapsed="false">
      <c r="A195" s="0" t="str">
        <f aca="false">IF(Consolidated!B198="","",Consolidated!B198&amp;"|"&amp;TEXT(Consolidated!C198,"yyyymmdd")&amp;"|"&amp;HOUR(Consolidated!D198))</f>
        <v>BE|20260709|13</v>
      </c>
      <c r="B195" s="0" t="str">
        <f aca="false">IF(Consolidated!B198="","",SUBSTITUTE(SUBSTITUTE(TEXT(Consolidated!D198,"h:mm AM/PM")," AM","a")," PM","p")&amp;IF(Consolidated!E198="",""," "&amp;Consolidated!E198)&amp;IF(Consolidated!H198="",""," "&amp;Consolidated!H198))</f>
        <v>1:00p WFO</v>
      </c>
      <c r="C195" s="0" t="str">
        <f aca="false">IF(Consolidated!B198="","",Consolidated!B198&amp;"|"&amp;TEXT(Consolidated!C198,"yyyymmdd"))</f>
        <v>BE|20260709</v>
      </c>
      <c r="D195" s="0" t="str">
        <f aca="false">IF(Consolidated!I198="","",Consolidated!I198)</f>
        <v/>
      </c>
    </row>
    <row r="196" customFormat="false" ht="15" hidden="false" customHeight="false" outlineLevel="0" collapsed="false">
      <c r="A196" s="0" t="str">
        <f aca="false">IF(Consolidated!B199="","",Consolidated!B199&amp;"|"&amp;TEXT(Consolidated!C199,"yyyymmdd")&amp;"|"&amp;HOUR(Consolidated!D199))</f>
        <v>BE|20260709|15</v>
      </c>
      <c r="B196" s="0" t="str">
        <f aca="false">IF(Consolidated!B199="","",SUBSTITUTE(SUBSTITUTE(TEXT(Consolidated!D199,"h:mm AM/PM")," AM","a")," PM","p")&amp;IF(Consolidated!E199="",""," "&amp;Consolidated!E199)&amp;IF(Consolidated!H199="",""," "&amp;Consolidated!H199))</f>
        <v>3:30p All</v>
      </c>
      <c r="C196" s="0" t="str">
        <f aca="false">IF(Consolidated!B199="","",Consolidated!B199&amp;"|"&amp;TEXT(Consolidated!C199,"yyyymmdd"))</f>
        <v>BE|20260709</v>
      </c>
      <c r="D196" s="0" t="str">
        <f aca="false">IF(Consolidated!I199="","",Consolidated!I199)</f>
        <v/>
      </c>
    </row>
    <row r="197" customFormat="false" ht="15" hidden="false" customHeight="false" outlineLevel="0" collapsed="false">
      <c r="A197" s="0" t="str">
        <f aca="false">IF(Consolidated!B200="","",Consolidated!B200&amp;"|"&amp;TEXT(Consolidated!C200,"yyyymmdd")&amp;"|"&amp;HOUR(Consolidated!D200))</f>
        <v>BE|20260709|17</v>
      </c>
      <c r="B197" s="0" t="str">
        <f aca="false">IF(Consolidated!B200="","",SUBSTITUTE(SUBSTITUTE(TEXT(Consolidated!D200,"h:mm AM/PM")," AM","a")," PM","p")&amp;IF(Consolidated!E200="",""," "&amp;Consolidated!E200)&amp;IF(Consolidated!H200="",""," "&amp;Consolidated!H200))</f>
        <v>5:00p All</v>
      </c>
      <c r="C197" s="0" t="str">
        <f aca="false">IF(Consolidated!B200="","",Consolidated!B200&amp;"|"&amp;TEXT(Consolidated!C200,"yyyymmdd"))</f>
        <v>BE|20260709</v>
      </c>
      <c r="D197" s="0" t="str">
        <f aca="false">IF(Consolidated!I200="","",Consolidated!I200)</f>
        <v/>
      </c>
    </row>
    <row r="198" customFormat="false" ht="15" hidden="false" customHeight="false" outlineLevel="0" collapsed="false">
      <c r="A198" s="0" t="str">
        <f aca="false">IF(Consolidated!B201="","",Consolidated!B201&amp;"|"&amp;TEXT(Consolidated!C201,"yyyymmdd")&amp;"|"&amp;HOUR(Consolidated!D201))</f>
        <v>BE|20260709|20</v>
      </c>
      <c r="B198" s="0" t="str">
        <f aca="false">IF(Consolidated!B201="","",SUBSTITUTE(SUBSTITUTE(TEXT(Consolidated!D201,"h:mm AM/PM")," AM","a")," PM","p")&amp;IF(Consolidated!E201="",""," "&amp;Consolidated!E201)&amp;IF(Consolidated!H201="",""," "&amp;Consolidated!H201))</f>
        <v>8:00p TSC (All)</v>
      </c>
      <c r="C198" s="0" t="str">
        <f aca="false">IF(Consolidated!B201="","",Consolidated!B201&amp;"|"&amp;TEXT(Consolidated!C201,"yyyymmdd"))</f>
        <v>BE|20260709</v>
      </c>
      <c r="D198" s="0" t="str">
        <f aca="false">IF(Consolidated!I201="","",Consolidated!I201)</f>
        <v/>
      </c>
    </row>
    <row r="199" customFormat="false" ht="15" hidden="false" customHeight="false" outlineLevel="0" collapsed="false">
      <c r="A199" s="0" t="str">
        <f aca="false">IF(Consolidated!B202="","",Consolidated!B202&amp;"|"&amp;TEXT(Consolidated!C202,"yyyymmdd")&amp;"|"&amp;HOUR(Consolidated!D202))</f>
        <v>Branch Central|20260709|12</v>
      </c>
      <c r="B199" s="0" t="str">
        <f aca="false">IF(Consolidated!B202="","",SUBSTITUTE(SUBSTITUTE(TEXT(Consolidated!D202,"h:mm AM/PM")," AM","a")," PM","p")&amp;IF(Consolidated!E202="",""," "&amp;Consolidated!E202)&amp;IF(Consolidated!H202="",""," "&amp;Consolidated!H202))</f>
        <v>12:30p E-C 1s &amp; Slow</v>
      </c>
      <c r="C199" s="0" t="str">
        <f aca="false">IF(Consolidated!B202="","",Consolidated!B202&amp;"|"&amp;TEXT(Consolidated!C202,"yyyymmdd"))</f>
        <v>Branch Central|20260709</v>
      </c>
      <c r="D199" s="0" t="str">
        <f aca="false">IF(Consolidated!I202="","",Consolidated!I202)</f>
        <v/>
      </c>
    </row>
    <row r="200" customFormat="false" ht="15" hidden="false" customHeight="false" outlineLevel="0" collapsed="false">
      <c r="A200" s="0" t="str">
        <f aca="false">IF(Consolidated!B203="","",Consolidated!B203&amp;"|"&amp;TEXT(Consolidated!C203,"yyyymmdd")&amp;"|"&amp;HOUR(Consolidated!D203))</f>
        <v>Branch Vendor|20260709|18</v>
      </c>
      <c r="B200" s="0" t="str">
        <f aca="false">IF(Consolidated!B203="","",SUBSTITUTE(SUBSTITUTE(TEXT(Consolidated!D203,"h:mm AM/PM")," AM","a")," PM","p")&amp;IF(Consolidated!E203="",""," "&amp;Consolidated!E203)&amp;IF(Consolidated!H203="",""," "&amp;Consolidated!H203))</f>
        <v>6:00p Vendor</v>
      </c>
      <c r="C200" s="0" t="str">
        <f aca="false">IF(Consolidated!B203="","",Consolidated!B203&amp;"|"&amp;TEXT(Consolidated!C203,"yyyymmdd"))</f>
        <v>Branch Vendor|20260709</v>
      </c>
      <c r="D200" s="0" t="str">
        <f aca="false">IF(Consolidated!I203="","",Consolidated!I203)</f>
        <v/>
      </c>
    </row>
    <row r="201" customFormat="false" ht="15" hidden="false" customHeight="false" outlineLevel="0" collapsed="false">
      <c r="A201" s="0" t="str">
        <f aca="false">IF(Consolidated!B204="","",Consolidated!B204&amp;"|"&amp;TEXT(Consolidated!C204,"yyyymmdd")&amp;"|"&amp;HOUR(Consolidated!D204))</f>
        <v>Card|20260709|8</v>
      </c>
      <c r="B201" s="0" t="str">
        <f aca="false">IF(Consolidated!B204="","",SUBSTITUTE(SUBSTITUTE(TEXT(Consolidated!D204,"h:mm AM/PM")," AM","a")," PM","p")&amp;IF(Consolidated!E204="",""," "&amp;Consolidated!E204)&amp;IF(Consolidated!H204="",""," "&amp;Consolidated!H204))</f>
        <v>8:00a</v>
      </c>
      <c r="C201" s="0" t="str">
        <f aca="false">IF(Consolidated!B204="","",Consolidated!B204&amp;"|"&amp;TEXT(Consolidated!C204,"yyyymmdd"))</f>
        <v>Card|20260709</v>
      </c>
      <c r="D201" s="0" t="str">
        <f aca="false">IF(Consolidated!I204="","",Consolidated!I204)</f>
        <v/>
      </c>
    </row>
    <row r="202" customFormat="false" ht="15" hidden="false" customHeight="false" outlineLevel="0" collapsed="false">
      <c r="A202" s="0" t="str">
        <f aca="false">IF(Consolidated!B205="","",Consolidated!B205&amp;"|"&amp;TEXT(Consolidated!C205,"yyyymmdd")&amp;"|"&amp;HOUR(Consolidated!D205))</f>
        <v>Card|20260709|12</v>
      </c>
      <c r="B202" s="0" t="str">
        <f aca="false">IF(Consolidated!B205="","",SUBSTITUTE(SUBSTITUTE(TEXT(Consolidated!D205,"h:mm AM/PM")," AM","a")," PM","p")&amp;IF(Consolidated!E205="",""," "&amp;Consolidated!E205)&amp;IF(Consolidated!H205="",""," "&amp;Consolidated!H205))</f>
        <v>12:00p</v>
      </c>
      <c r="C202" s="0" t="str">
        <f aca="false">IF(Consolidated!B205="","",Consolidated!B205&amp;"|"&amp;TEXT(Consolidated!C205,"yyyymmdd"))</f>
        <v>Card|20260709</v>
      </c>
      <c r="D202" s="0" t="str">
        <f aca="false">IF(Consolidated!I205="","",Consolidated!I205)</f>
        <v/>
      </c>
    </row>
    <row r="203" customFormat="false" ht="15" hidden="false" customHeight="false" outlineLevel="0" collapsed="false">
      <c r="A203" s="0" t="str">
        <f aca="false">IF(Consolidated!B206="","",Consolidated!B206&amp;"|"&amp;TEXT(Consolidated!C206,"yyyymmdd")&amp;"|"&amp;HOUR(Consolidated!D206))</f>
        <v>Card|20260709|14</v>
      </c>
      <c r="B203" s="0" t="str">
        <f aca="false">IF(Consolidated!B206="","",SUBSTITUTE(SUBSTITUTE(TEXT(Consolidated!D206,"h:mm AM/PM")," AM","a")," PM","p")&amp;IF(Consolidated!E206="",""," "&amp;Consolidated!E206)&amp;IF(Consolidated!H206="",""," "&amp;Consolidated!H206))</f>
        <v>2:00p ASAP</v>
      </c>
      <c r="C203" s="0" t="str">
        <f aca="false">IF(Consolidated!B206="","",Consolidated!B206&amp;"|"&amp;TEXT(Consolidated!C206,"yyyymmdd"))</f>
        <v>Card|20260709</v>
      </c>
      <c r="D203" s="0" t="str">
        <f aca="false">IF(Consolidated!I206="","",Consolidated!I206)</f>
        <v/>
      </c>
    </row>
    <row r="204" customFormat="false" ht="15" hidden="false" customHeight="false" outlineLevel="0" collapsed="false">
      <c r="A204" s="0" t="str">
        <f aca="false">IF(Consolidated!B207="","",Consolidated!B207&amp;"|"&amp;TEXT(Consolidated!C207,"yyyymmdd")&amp;"|"&amp;HOUR(Consolidated!D207))</f>
        <v>Card|20260709|16</v>
      </c>
      <c r="B204" s="0" t="str">
        <f aca="false">IF(Consolidated!B207="","",SUBSTITUTE(SUBSTITUTE(TEXT(Consolidated!D207,"h:mm AM/PM")," AM","a")," PM","p")&amp;IF(Consolidated!E207="",""," "&amp;Consolidated!E207)&amp;IF(Consolidated!H207="",""," "&amp;Consolidated!H207))</f>
        <v>4:00p ASAP</v>
      </c>
      <c r="C204" s="0" t="str">
        <f aca="false">IF(Consolidated!B207="","",Consolidated!B207&amp;"|"&amp;TEXT(Consolidated!C207,"yyyymmdd"))</f>
        <v>Card|20260709</v>
      </c>
      <c r="D204" s="0" t="str">
        <f aca="false">IF(Consolidated!I207="","",Consolidated!I207)</f>
        <v/>
      </c>
    </row>
    <row r="205" customFormat="false" ht="15" hidden="false" customHeight="false" outlineLevel="0" collapsed="false">
      <c r="A205" s="0" t="str">
        <f aca="false">IF(Consolidated!B208="","",Consolidated!B208&amp;"|"&amp;TEXT(Consolidated!C208,"yyyymmdd")&amp;"|"&amp;HOUR(Consolidated!D208))</f>
        <v>Card|20260709|18</v>
      </c>
      <c r="B205" s="0" t="str">
        <f aca="false">IF(Consolidated!B208="","",SUBSTITUTE(SUBSTITUTE(TEXT(Consolidated!D208,"h:mm AM/PM")," AM","a")," PM","p")&amp;IF(Consolidated!E208="",""," "&amp;Consolidated!E208)&amp;IF(Consolidated!H208="",""," "&amp;Consolidated!H208))</f>
        <v>6:00p ASAP</v>
      </c>
      <c r="C205" s="0" t="str">
        <f aca="false">IF(Consolidated!B208="","",Consolidated!B208&amp;"|"&amp;TEXT(Consolidated!C208,"yyyymmdd"))</f>
        <v>Card|20260709</v>
      </c>
      <c r="D205" s="0" t="str">
        <f aca="false">IF(Consolidated!I208="","",Consolidated!I208)</f>
        <v/>
      </c>
    </row>
    <row r="206" customFormat="false" ht="15" hidden="false" customHeight="false" outlineLevel="0" collapsed="false">
      <c r="A206" s="0" t="str">
        <f aca="false">IF(Consolidated!B209="","",Consolidated!B209&amp;"|"&amp;TEXT(Consolidated!C209,"yyyymmdd")&amp;"|"&amp;HOUR(Consolidated!D209))</f>
        <v>FE|20260709|8</v>
      </c>
      <c r="B206" s="0" t="str">
        <f aca="false">IF(Consolidated!B209="","",SUBSTITUTE(SUBSTITUTE(TEXT(Consolidated!D209,"h:mm AM/PM")," AM","a")," PM","p")&amp;IF(Consolidated!E209="",""," "&amp;Consolidated!E209)&amp;IF(Consolidated!H209="",""," "&amp;Consolidated!H209))</f>
        <v>8:15a E</v>
      </c>
      <c r="C206" s="0" t="str">
        <f aca="false">IF(Consolidated!B209="","",Consolidated!B209&amp;"|"&amp;TEXT(Consolidated!C209,"yyyymmdd"))</f>
        <v>FE|20260709</v>
      </c>
      <c r="D206" s="0" t="str">
        <f aca="false">IF(Consolidated!I209="","",Consolidated!I209)</f>
        <v/>
      </c>
    </row>
    <row r="207" customFormat="false" ht="15" hidden="false" customHeight="false" outlineLevel="0" collapsed="false">
      <c r="A207" s="0" t="str">
        <f aca="false">IF(Consolidated!B210="","",Consolidated!B210&amp;"|"&amp;TEXT(Consolidated!C210,"yyyymmdd")&amp;"|"&amp;HOUR(Consolidated!D210))</f>
        <v>FE|20260709|9</v>
      </c>
      <c r="B207" s="0" t="str">
        <f aca="false">IF(Consolidated!B210="","",SUBSTITUTE(SUBSTITUTE(TEXT(Consolidated!D210,"h:mm AM/PM")," AM","a")," PM","p")&amp;IF(Consolidated!E210="",""," "&amp;Consolidated!E210)&amp;IF(Consolidated!H210="",""," "&amp;Consolidated!H210))</f>
        <v>9:15a C</v>
      </c>
      <c r="C207" s="0" t="str">
        <f aca="false">IF(Consolidated!B210="","",Consolidated!B210&amp;"|"&amp;TEXT(Consolidated!C210,"yyyymmdd"))</f>
        <v>FE|20260709</v>
      </c>
      <c r="D207" s="0" t="str">
        <f aca="false">IF(Consolidated!I210="","",Consolidated!I210)</f>
        <v/>
      </c>
    </row>
    <row r="208" customFormat="false" ht="15" hidden="false" customHeight="false" outlineLevel="0" collapsed="false">
      <c r="A208" s="0" t="str">
        <f aca="false">IF(Consolidated!B211="","",Consolidated!B211&amp;"|"&amp;TEXT(Consolidated!C211,"yyyymmdd")&amp;"|"&amp;HOUR(Consolidated!D211))</f>
        <v>FE|20260709|11</v>
      </c>
      <c r="B208" s="0" t="str">
        <f aca="false">IF(Consolidated!B211="","",SUBSTITUTE(SUBSTITUTE(TEXT(Consolidated!D211,"h:mm AM/PM")," AM","a")," PM","p")&amp;IF(Consolidated!E211="",""," "&amp;Consolidated!E211)&amp;IF(Consolidated!H211="",""," "&amp;Consolidated!H211))</f>
        <v>11:30a M-P</v>
      </c>
      <c r="C208" s="0" t="str">
        <f aca="false">IF(Consolidated!B211="","",Consolidated!B211&amp;"|"&amp;TEXT(Consolidated!C211,"yyyymmdd"))</f>
        <v>FE|20260709</v>
      </c>
      <c r="D208" s="0" t="str">
        <f aca="false">IF(Consolidated!I211="","",Consolidated!I211)</f>
        <v/>
      </c>
    </row>
    <row r="209" customFormat="false" ht="15" hidden="false" customHeight="false" outlineLevel="0" collapsed="false">
      <c r="A209" s="0" t="str">
        <f aca="false">IF(Consolidated!B212="","",Consolidated!B212&amp;"|"&amp;TEXT(Consolidated!C212,"yyyymmdd")&amp;"|"&amp;HOUR(Consolidated!D212))</f>
        <v>FE|20260709|12</v>
      </c>
      <c r="B209" s="0" t="str">
        <f aca="false">IF(Consolidated!B212="","",SUBSTITUTE(SUBSTITUTE(TEXT(Consolidated!D212,"h:mm AM/PM")," AM","a")," PM","p")&amp;IF(Consolidated!E212="",""," "&amp;Consolidated!E212)&amp;IF(Consolidated!H212="",""," "&amp;Consolidated!H212))</f>
        <v>12:30p Branch</v>
      </c>
      <c r="C209" s="0" t="str">
        <f aca="false">IF(Consolidated!B212="","",Consolidated!B212&amp;"|"&amp;TEXT(Consolidated!C212,"yyyymmdd"))</f>
        <v>FE|20260709</v>
      </c>
      <c r="D209" s="0" t="str">
        <f aca="false">IF(Consolidated!I212="","",Consolidated!I212)</f>
        <v/>
      </c>
    </row>
    <row r="210" customFormat="false" ht="15" hidden="false" customHeight="false" outlineLevel="0" collapsed="false">
      <c r="A210" s="0" t="str">
        <f aca="false">IF(Consolidated!B213="","",Consolidated!B213&amp;"|"&amp;TEXT(Consolidated!C213,"yyyymmdd")&amp;"|"&amp;HOUR(Consolidated!D213))</f>
        <v>FE|20260709|14</v>
      </c>
      <c r="B210" s="0" t="str">
        <f aca="false">IF(Consolidated!B213="","",SUBSTITUTE(SUBSTITUTE(TEXT(Consolidated!D213,"h:mm AM/PM")," AM","a")," PM","p")&amp;IF(Consolidated!E213="",""," "&amp;Consolidated!E213)&amp;IF(Consolidated!H213="",""," "&amp;Consolidated!H213))</f>
        <v>2:30p WFO</v>
      </c>
      <c r="C210" s="0" t="str">
        <f aca="false">IF(Consolidated!B213="","",Consolidated!B213&amp;"|"&amp;TEXT(Consolidated!C213,"yyyymmdd"))</f>
        <v>FE|20260709</v>
      </c>
      <c r="D210" s="0" t="str">
        <f aca="false">IF(Consolidated!I213="","",Consolidated!I213)</f>
        <v/>
      </c>
    </row>
    <row r="211" customFormat="false" ht="15" hidden="false" customHeight="false" outlineLevel="0" collapsed="false">
      <c r="A211" s="0" t="str">
        <f aca="false">IF(Consolidated!B214="","",Consolidated!B214&amp;"|"&amp;TEXT(Consolidated!C214,"yyyymmdd")&amp;"|"&amp;HOUR(Consolidated!D214))</f>
        <v>FE|20260709|15</v>
      </c>
      <c r="B211" s="0" t="str">
        <f aca="false">IF(Consolidated!B214="","",SUBSTITUTE(SUBSTITUTE(TEXT(Consolidated!D214,"h:mm AM/PM")," AM","a")," PM","p")&amp;IF(Consolidated!E214="",""," "&amp;Consolidated!E214)&amp;IF(Consolidated!H214="",""," "&amp;Consolidated!H214))</f>
        <v>3:00p All</v>
      </c>
      <c r="C211" s="0" t="str">
        <f aca="false">IF(Consolidated!B214="","",Consolidated!B214&amp;"|"&amp;TEXT(Consolidated!C214,"yyyymmdd"))</f>
        <v>FE|20260709</v>
      </c>
      <c r="D211" s="0" t="str">
        <f aca="false">IF(Consolidated!I214="","",Consolidated!I214)</f>
        <v/>
      </c>
    </row>
    <row r="212" customFormat="false" ht="15" hidden="false" customHeight="false" outlineLevel="0" collapsed="false">
      <c r="A212" s="0" t="str">
        <f aca="false">IF(Consolidated!B215="","",Consolidated!B215&amp;"|"&amp;TEXT(Consolidated!C215,"yyyymmdd")&amp;"|"&amp;HOUR(Consolidated!D215))</f>
        <v>FE|20260709|16</v>
      </c>
      <c r="B212" s="0" t="str">
        <f aca="false">IF(Consolidated!B215="","",SUBSTITUTE(SUBSTITUTE(TEXT(Consolidated!D215,"h:mm AM/PM")," AM","a")," PM","p")&amp;IF(Consolidated!E215="",""," "&amp;Consolidated!E215)&amp;IF(Consolidated!H215="",""," "&amp;Consolidated!H215))</f>
        <v>4:30p All</v>
      </c>
      <c r="C212" s="0" t="str">
        <f aca="false">IF(Consolidated!B215="","",Consolidated!B215&amp;"|"&amp;TEXT(Consolidated!C215,"yyyymmdd"))</f>
        <v>FE|20260709</v>
      </c>
      <c r="D212" s="0" t="str">
        <f aca="false">IF(Consolidated!I215="","",Consolidated!I215)</f>
        <v/>
      </c>
    </row>
    <row r="213" customFormat="false" ht="15" hidden="false" customHeight="false" outlineLevel="0" collapsed="false">
      <c r="A213" s="0" t="str">
        <f aca="false">IF(Consolidated!B216="","",Consolidated!B216&amp;"|"&amp;TEXT(Consolidated!C216,"yyyymmdd")&amp;"|"&amp;HOUR(Consolidated!D216))</f>
        <v>FE|20260709|20</v>
      </c>
      <c r="B213" s="0" t="str">
        <f aca="false">IF(Consolidated!B216="","",SUBSTITUTE(SUBSTITUTE(TEXT(Consolidated!D216,"h:mm AM/PM")," AM","a")," PM","p")&amp;IF(Consolidated!E216="",""," "&amp;Consolidated!E216)&amp;IF(Consolidated!H216="",""," "&amp;Consolidated!H216))</f>
        <v>8:00p TSC (All)</v>
      </c>
      <c r="C213" s="0" t="str">
        <f aca="false">IF(Consolidated!B216="","",Consolidated!B216&amp;"|"&amp;TEXT(Consolidated!C216,"yyyymmdd"))</f>
        <v>FE|20260709</v>
      </c>
      <c r="D213" s="0" t="str">
        <f aca="false">IF(Consolidated!I216="","",Consolidated!I216)</f>
        <v/>
      </c>
    </row>
    <row r="214" customFormat="false" ht="15" hidden="false" customHeight="false" outlineLevel="0" collapsed="false">
      <c r="A214" s="0" t="str">
        <f aca="false">IF(Consolidated!B217="","",Consolidated!B217&amp;"|"&amp;TEXT(Consolidated!C217,"yyyymmdd")&amp;"|"&amp;HOUR(Consolidated!D217))</f>
        <v>Optional Products|20260709|0</v>
      </c>
      <c r="B214" s="0" t="str">
        <f aca="false">IF(Consolidated!B217="","",SUBSTITUTE(SUBSTITUTE(TEXT(Consolidated!D217,"h:mm AM/PM")," AM","a")," PM","p")&amp;IF(Consolidated!E217="",""," "&amp;Consolidated!E217)&amp;IF(Consolidated!H217="",""," "&amp;Consolidated!H217))</f>
        <v>12:00a Second/Third</v>
      </c>
      <c r="C214" s="0" t="str">
        <f aca="false">IF(Consolidated!B217="","",Consolidated!B217&amp;"|"&amp;TEXT(Consolidated!C217,"yyyymmdd"))</f>
        <v>Optional Products|20260709</v>
      </c>
      <c r="D214" s="0" t="str">
        <f aca="false">IF(Consolidated!I217="","",Consolidated!I217)</f>
        <v>Priority Order: Second/Third</v>
      </c>
    </row>
    <row r="215" customFormat="false" ht="15" hidden="false" customHeight="false" outlineLevel="0" collapsed="false">
      <c r="A215" s="0" t="str">
        <f aca="false">IF(Consolidated!B218="","",Consolidated!B218&amp;"|"&amp;TEXT(Consolidated!C218,"yyyymmdd")&amp;"|"&amp;HOUR(Consolidated!D218))</f>
        <v>PCO|20260709|9</v>
      </c>
      <c r="B215" s="0" t="str">
        <f aca="false">IF(Consolidated!B218="","",SUBSTITUTE(SUBSTITUTE(TEXT(Consolidated!D218,"h:mm AM/PM")," AM","a")," PM","p")&amp;IF(Consolidated!E218="",""," "&amp;Consolidated!E218)&amp;IF(Consolidated!H218="",""," "&amp;Consolidated!H218))</f>
        <v>9:15a E-C</v>
      </c>
      <c r="C215" s="0" t="str">
        <f aca="false">IF(Consolidated!B218="","",Consolidated!B218&amp;"|"&amp;TEXT(Consolidated!C218,"yyyymmdd"))</f>
        <v>PCO|20260709</v>
      </c>
      <c r="D215" s="0" t="str">
        <f aca="false">IF(Consolidated!I218="","",Consolidated!I218)</f>
        <v/>
      </c>
    </row>
    <row r="216" customFormat="false" ht="15" hidden="false" customHeight="false" outlineLevel="0" collapsed="false">
      <c r="A216" s="0" t="str">
        <f aca="false">IF(Consolidated!B219="","",Consolidated!B219&amp;"|"&amp;TEXT(Consolidated!C219,"yyyymmdd")&amp;"|"&amp;HOUR(Consolidated!D219))</f>
        <v>PCO|20260709|11</v>
      </c>
      <c r="B216" s="0" t="str">
        <f aca="false">IF(Consolidated!B219="","",SUBSTITUTE(SUBSTITUTE(TEXT(Consolidated!D219,"h:mm AM/PM")," AM","a")," PM","p")&amp;IF(Consolidated!E219="",""," "&amp;Consolidated!E219)&amp;IF(Consolidated!H219="",""," "&amp;Consolidated!H219))</f>
        <v>11:30a M-P</v>
      </c>
      <c r="C216" s="0" t="str">
        <f aca="false">IF(Consolidated!B219="","",Consolidated!B219&amp;"|"&amp;TEXT(Consolidated!C219,"yyyymmdd"))</f>
        <v>PCO|20260709</v>
      </c>
      <c r="D216" s="0" t="str">
        <f aca="false">IF(Consolidated!I219="","",Consolidated!I219)</f>
        <v/>
      </c>
    </row>
    <row r="217" customFormat="false" ht="15" hidden="false" customHeight="false" outlineLevel="0" collapsed="false">
      <c r="A217" s="0" t="str">
        <f aca="false">IF(Consolidated!B220="","",Consolidated!B220&amp;"|"&amp;TEXT(Consolidated!C220,"yyyymmdd")&amp;"|"&amp;HOUR(Consolidated!D220))</f>
        <v>PCO|20260709|13</v>
      </c>
      <c r="B217" s="0" t="str">
        <f aca="false">IF(Consolidated!B220="","",SUBSTITUTE(SUBSTITUTE(TEXT(Consolidated!D220,"h:mm AM/PM")," AM","a")," PM","p")&amp;IF(Consolidated!E220="",""," "&amp;Consolidated!E220)&amp;IF(Consolidated!H220="",""," "&amp;Consolidated!H220))</f>
        <v>1:00p WFO</v>
      </c>
      <c r="C217" s="0" t="str">
        <f aca="false">IF(Consolidated!B220="","",Consolidated!B220&amp;"|"&amp;TEXT(Consolidated!C220,"yyyymmdd"))</f>
        <v>PCO|20260709</v>
      </c>
      <c r="D217" s="0" t="str">
        <f aca="false">IF(Consolidated!I220="","",Consolidated!I220)</f>
        <v/>
      </c>
    </row>
    <row r="218" customFormat="false" ht="15" hidden="false" customHeight="false" outlineLevel="0" collapsed="false">
      <c r="A218" s="0" t="str">
        <f aca="false">IF(Consolidated!B221="","",Consolidated!B221&amp;"|"&amp;TEXT(Consolidated!C221,"yyyymmdd")&amp;"|"&amp;HOUR(Consolidated!D221))</f>
        <v>PCO|20260709|15</v>
      </c>
      <c r="B218" s="0" t="str">
        <f aca="false">IF(Consolidated!B221="","",SUBSTITUTE(SUBSTITUTE(TEXT(Consolidated!D221,"h:mm AM/PM")," AM","a")," PM","p")&amp;IF(Consolidated!E221="",""," "&amp;Consolidated!E221)&amp;IF(Consolidated!H221="",""," "&amp;Consolidated!H221))</f>
        <v>3:00p All</v>
      </c>
      <c r="C218" s="0" t="str">
        <f aca="false">IF(Consolidated!B221="","",Consolidated!B221&amp;"|"&amp;TEXT(Consolidated!C221,"yyyymmdd"))</f>
        <v>PCO|20260709</v>
      </c>
      <c r="D218" s="0" t="str">
        <f aca="false">IF(Consolidated!I221="","",Consolidated!I221)</f>
        <v/>
      </c>
    </row>
    <row r="219" customFormat="false" ht="15" hidden="false" customHeight="false" outlineLevel="0" collapsed="false">
      <c r="A219" s="0" t="str">
        <f aca="false">IF(Consolidated!B222="","",Consolidated!B222&amp;"|"&amp;TEXT(Consolidated!C222,"yyyymmdd")&amp;"|"&amp;HOUR(Consolidated!D222))</f>
        <v>PCO|20260709|20</v>
      </c>
      <c r="B219" s="0" t="str">
        <f aca="false">IF(Consolidated!B222="","",SUBSTITUTE(SUBSTITUTE(TEXT(Consolidated!D222,"h:mm AM/PM")," AM","a")," PM","p")&amp;IF(Consolidated!E222="",""," "&amp;Consolidated!E222)&amp;IF(Consolidated!H222="",""," "&amp;Consolidated!H222))</f>
        <v>8:00p TSC (All)</v>
      </c>
      <c r="C219" s="0" t="str">
        <f aca="false">IF(Consolidated!B222="","",Consolidated!B222&amp;"|"&amp;TEXT(Consolidated!C222,"yyyymmdd"))</f>
        <v>PCO|20260709</v>
      </c>
      <c r="D219" s="0" t="str">
        <f aca="false">IF(Consolidated!I222="","",Consolidated!I222)</f>
        <v/>
      </c>
    </row>
    <row r="220" customFormat="false" ht="15" hidden="false" customHeight="false" outlineLevel="0" collapsed="false">
      <c r="A220" s="0" t="str">
        <f aca="false">IF(Consolidated!B223="","",Consolidated!B223&amp;"|"&amp;TEXT(Consolidated!C223,"yyyymmdd")&amp;"|"&amp;HOUR(Consolidated!D223))</f>
        <v>Repo|20260709|9</v>
      </c>
      <c r="B220" s="0" t="str">
        <f aca="false">IF(Consolidated!B223="","",SUBSTITUTE(SUBSTITUTE(TEXT(Consolidated!D223,"h:mm AM/PM")," AM","a")," PM","p")&amp;IF(Consolidated!E223="",""," "&amp;Consolidated!E223)&amp;IF(Consolidated!H223="",""," "&amp;Consolidated!H223))</f>
        <v>9:00a Repo</v>
      </c>
      <c r="C220" s="0" t="str">
        <f aca="false">IF(Consolidated!B223="","",Consolidated!B223&amp;"|"&amp;TEXT(Consolidated!C223,"yyyymmdd"))</f>
        <v>Repo|20260709</v>
      </c>
      <c r="D220" s="0" t="str">
        <f aca="false">IF(Consolidated!I223="","",Consolidated!I223)</f>
        <v>AM Daily</v>
      </c>
    </row>
    <row r="221" customFormat="false" ht="15" hidden="false" customHeight="false" outlineLevel="0" collapsed="false">
      <c r="A221" s="0" t="str">
        <f aca="false">IF(Consolidated!B224="","",Consolidated!B224&amp;"|"&amp;TEXT(Consolidated!C224,"yyyymmdd")&amp;"|"&amp;HOUR(Consolidated!D224))</f>
        <v>Repo|20260709|10</v>
      </c>
      <c r="B221" s="0" t="str">
        <f aca="false">IF(Consolidated!B224="","",SUBSTITUTE(SUBSTITUTE(TEXT(Consolidated!D224,"h:mm AM/PM")," AM","a")," PM","p")&amp;IF(Consolidated!E224="",""," "&amp;Consolidated!E224)&amp;IF(Consolidated!H224="",""," "&amp;Consolidated!H224))</f>
        <v>10:00a RP</v>
      </c>
      <c r="C221" s="0" t="str">
        <f aca="false">IF(Consolidated!B224="","",Consolidated!B224&amp;"|"&amp;TEXT(Consolidated!C224,"yyyymmdd"))</f>
        <v>Repo|20260709</v>
      </c>
      <c r="D221" s="0" t="str">
        <f aca="false">IF(Consolidated!I224="","",Consolidated!I224)</f>
        <v/>
      </c>
    </row>
    <row r="222" customFormat="false" ht="15" hidden="false" customHeight="false" outlineLevel="0" collapsed="false">
      <c r="A222" s="0" t="str">
        <f aca="false">IF(Consolidated!B225="","",Consolidated!B225&amp;"|"&amp;TEXT(Consolidated!C225,"yyyymmdd")&amp;"|"&amp;HOUR(Consolidated!D225))</f>
        <v>Repo|20260709|14</v>
      </c>
      <c r="B222" s="0" t="str">
        <f aca="false">IF(Consolidated!B225="","",SUBSTITUTE(SUBSTITUTE(TEXT(Consolidated!D225,"h:mm AM/PM")," AM","a")," PM","p")&amp;IF(Consolidated!E225="",""," "&amp;Consolidated!E225)&amp;IF(Consolidated!H225="",""," "&amp;Consolidated!H225))</f>
        <v>2:00p Repo</v>
      </c>
      <c r="C222" s="0" t="str">
        <f aca="false">IF(Consolidated!B225="","",Consolidated!B225&amp;"|"&amp;TEXT(Consolidated!C225,"yyyymmdd"))</f>
        <v>Repo|20260709</v>
      </c>
      <c r="D222" s="0" t="str">
        <f aca="false">IF(Consolidated!I225="","",Consolidated!I225)</f>
        <v/>
      </c>
    </row>
    <row r="223" customFormat="false" ht="15" hidden="false" customHeight="false" outlineLevel="0" collapsed="false">
      <c r="A223" s="0" t="str">
        <f aca="false">IF(Consolidated!B226="","",Consolidated!B226&amp;"|"&amp;TEXT(Consolidated!C226,"yyyymmdd")&amp;"|"&amp;HOUR(Consolidated!D226))</f>
        <v>ARC|20260710|10</v>
      </c>
      <c r="B223" s="0" t="str">
        <f aca="false">IF(Consolidated!B226="","",SUBSTITUTE(SUBSTITUTE(TEXT(Consolidated!D226,"h:mm AM/PM")," AM","a")," PM","p")&amp;IF(Consolidated!E226="",""," "&amp;Consolidated!E226)&amp;IF(Consolidated!H226="",""," "&amp;Consolidated!H226))</f>
        <v>10:00a NCs</v>
      </c>
      <c r="C223" s="0" t="str">
        <f aca="false">IF(Consolidated!B226="","",Consolidated!B226&amp;"|"&amp;TEXT(Consolidated!C226,"yyyymmdd"))</f>
        <v>ARC|20260710</v>
      </c>
      <c r="D223" s="0" t="str">
        <f aca="false">IF(Consolidated!I226="","",Consolidated!I226)</f>
        <v>Hit Priority  / Strat 7 / APP</v>
      </c>
    </row>
    <row r="224" customFormat="false" ht="15" hidden="false" customHeight="false" outlineLevel="0" collapsed="false">
      <c r="A224" s="0" t="str">
        <f aca="false">IF(Consolidated!B227="","",Consolidated!B227&amp;"|"&amp;TEXT(Consolidated!C227,"yyyymmdd")&amp;"|"&amp;HOUR(Consolidated!D227))</f>
        <v>ARC|20260710|14</v>
      </c>
      <c r="B224" s="0" t="str">
        <f aca="false">IF(Consolidated!B227="","",SUBSTITUTE(SUBSTITUTE(TEXT(Consolidated!D227,"h:mm AM/PM")," AM","a")," PM","p")&amp;IF(Consolidated!E227="",""," "&amp;Consolidated!E227)&amp;IF(Consolidated!H227="",""," "&amp;Consolidated!H227))</f>
        <v>2:00p All</v>
      </c>
      <c r="C224" s="0" t="str">
        <f aca="false">IF(Consolidated!B227="","",Consolidated!B227&amp;"|"&amp;TEXT(Consolidated!C227,"yyyymmdd"))</f>
        <v>ARC|20260710</v>
      </c>
      <c r="D224" s="0" t="str">
        <f aca="false">IF(Consolidated!I227="","",Consolidated!I227)</f>
        <v>Hit Priority  / Strat 7 / APP</v>
      </c>
    </row>
    <row r="225" customFormat="false" ht="15" hidden="false" customHeight="false" outlineLevel="0" collapsed="false">
      <c r="A225" s="0" t="str">
        <f aca="false">IF(Consolidated!B228="","",Consolidated!B228&amp;"|"&amp;TEXT(Consolidated!C228,"yyyymmdd")&amp;"|"&amp;HOUR(Consolidated!D228))</f>
        <v>Auto|20260710|8</v>
      </c>
      <c r="B225" s="0" t="str">
        <f aca="false">IF(Consolidated!B228="","",SUBSTITUTE(SUBSTITUTE(TEXT(Consolidated!D228,"h:mm AM/PM")," AM","a")," PM","p")&amp;IF(Consolidated!E228="",""," "&amp;Consolidated!E228)&amp;IF(Consolidated!H228="",""," "&amp;Consolidated!H228))</f>
        <v>8:15a E AMs</v>
      </c>
      <c r="C225" s="0" t="str">
        <f aca="false">IF(Consolidated!B228="","",Consolidated!B228&amp;"|"&amp;TEXT(Consolidated!C228,"yyyymmdd"))</f>
        <v>Auto|20260710</v>
      </c>
      <c r="D225" s="0" t="str">
        <f aca="false">IF(Consolidated!I228="","",Consolidated!I228)</f>
        <v>Slowpay AM Daily</v>
      </c>
    </row>
    <row r="226" customFormat="false" ht="15" hidden="false" customHeight="false" outlineLevel="0" collapsed="false">
      <c r="A226" s="0" t="str">
        <f aca="false">IF(Consolidated!B229="","",Consolidated!B229&amp;"|"&amp;TEXT(Consolidated!C229,"yyyymmdd")&amp;"|"&amp;HOUR(Consolidated!D229))</f>
        <v>Auto|20260710|11</v>
      </c>
      <c r="B226" s="0" t="str">
        <f aca="false">IF(Consolidated!B229="","",SUBSTITUTE(SUBSTITUTE(TEXT(Consolidated!D229,"h:mm AM/PM")," AM","a")," PM","p")&amp;IF(Consolidated!E229="",""," "&amp;Consolidated!E229)&amp;IF(Consolidated!H229="",""," "&amp;Consolidated!H229))</f>
        <v>11:30a C-M-P AMs</v>
      </c>
      <c r="C226" s="0" t="str">
        <f aca="false">IF(Consolidated!B229="","",Consolidated!B229&amp;"|"&amp;TEXT(Consolidated!C229,"yyyymmdd"))</f>
        <v>Auto|20260710</v>
      </c>
      <c r="D226" s="0" t="str">
        <f aca="false">IF(Consolidated!I229="","",Consolidated!I229)</f>
        <v/>
      </c>
    </row>
    <row r="227" customFormat="false" ht="15" hidden="false" customHeight="false" outlineLevel="0" collapsed="false">
      <c r="A227" s="0" t="str">
        <f aca="false">IF(Consolidated!B230="","",Consolidated!B230&amp;"|"&amp;TEXT(Consolidated!C230,"yyyymmdd")&amp;"|"&amp;HOUR(Consolidated!D230))</f>
        <v>Auto|20260710|13</v>
      </c>
      <c r="B227" s="0" t="str">
        <f aca="false">IF(Consolidated!B230="","",SUBSTITUTE(SUBSTITUTE(TEXT(Consolidated!D230,"h:mm AM/PM")," AM","a")," PM","p")&amp;IF(Consolidated!E230="",""," "&amp;Consolidated!E230)&amp;IF(Consolidated!H230="",""," "&amp;Consolidated!H230))</f>
        <v>1:30p WFO</v>
      </c>
      <c r="C227" s="0" t="str">
        <f aca="false">IF(Consolidated!B230="","",Consolidated!B230&amp;"|"&amp;TEXT(Consolidated!C230,"yyyymmdd"))</f>
        <v>Auto|20260710</v>
      </c>
      <c r="D227" s="0" t="str">
        <f aca="false">IF(Consolidated!I230="","",Consolidated!I230)</f>
        <v/>
      </c>
    </row>
    <row r="228" customFormat="false" ht="15" hidden="false" customHeight="false" outlineLevel="0" collapsed="false">
      <c r="A228" s="0" t="str">
        <f aca="false">IF(Consolidated!B231="","",Consolidated!B231&amp;"|"&amp;TEXT(Consolidated!C231,"yyyymmdd")&amp;"|"&amp;HOUR(Consolidated!D231))</f>
        <v>Auto|20260710|17</v>
      </c>
      <c r="B228" s="0" t="str">
        <f aca="false">IF(Consolidated!B231="","",SUBSTITUTE(SUBSTITUTE(TEXT(Consolidated!D231,"h:mm AM/PM")," AM","a")," PM","p")&amp;IF(Consolidated!E231="",""," "&amp;Consolidated!E231)&amp;IF(Consolidated!H231="",""," "&amp;Consolidated!H231))</f>
        <v>5:00p Blitz</v>
      </c>
      <c r="C228" s="0" t="str">
        <f aca="false">IF(Consolidated!B231="","",Consolidated!B231&amp;"|"&amp;TEXT(Consolidated!C231,"yyyymmdd"))</f>
        <v>Auto|20260710</v>
      </c>
      <c r="D228" s="0" t="str">
        <f aca="false">IF(Consolidated!I231="","",Consolidated!I231)</f>
        <v/>
      </c>
    </row>
    <row r="229" customFormat="false" ht="15" hidden="false" customHeight="false" outlineLevel="0" collapsed="false">
      <c r="A229" s="0" t="str">
        <f aca="false">IF(Consolidated!B232="","",Consolidated!B232&amp;"|"&amp;TEXT(Consolidated!C232,"yyyymmdd")&amp;"|"&amp;HOUR(Consolidated!D232))</f>
        <v>Auto|20260710|20</v>
      </c>
      <c r="B229" s="0" t="str">
        <f aca="false">IF(Consolidated!B232="","",SUBSTITUTE(SUBSTITUTE(TEXT(Consolidated!D232,"h:mm AM/PM")," AM","a")," PM","p")&amp;IF(Consolidated!E232="",""," "&amp;Consolidated!E232)&amp;IF(Consolidated!H232="",""," "&amp;Consolidated!H232))</f>
        <v>8:00p TSC (All)</v>
      </c>
      <c r="C229" s="0" t="str">
        <f aca="false">IF(Consolidated!B232="","",Consolidated!B232&amp;"|"&amp;TEXT(Consolidated!C232,"yyyymmdd"))</f>
        <v>Auto|20260710</v>
      </c>
      <c r="D229" s="0" t="str">
        <f aca="false">IF(Consolidated!I232="","",Consolidated!I232)</f>
        <v/>
      </c>
    </row>
    <row r="230" customFormat="false" ht="15" hidden="false" customHeight="false" outlineLevel="0" collapsed="false">
      <c r="A230" s="0" t="str">
        <f aca="false">IF(Consolidated!B233="","",Consolidated!B233&amp;"|"&amp;TEXT(Consolidated!C233,"yyyymmdd")&amp;"|"&amp;HOUR(Consolidated!D233))</f>
        <v>BE|20260710|8</v>
      </c>
      <c r="B230" s="0" t="str">
        <f aca="false">IF(Consolidated!B233="","",SUBSTITUTE(SUBSTITUTE(TEXT(Consolidated!D233,"h:mm AM/PM")," AM","a")," PM","p")&amp;IF(Consolidated!E233="",""," "&amp;Consolidated!E233)&amp;IF(Consolidated!H233="",""," "&amp;Consolidated!H233))</f>
        <v>8:30a E AMs</v>
      </c>
      <c r="C230" s="0" t="str">
        <f aca="false">IF(Consolidated!B233="","",Consolidated!B233&amp;"|"&amp;TEXT(Consolidated!C233,"yyyymmdd"))</f>
        <v>BE|20260710</v>
      </c>
      <c r="D230" s="0" t="str">
        <f aca="false">IF(Consolidated!I233="","",Consolidated!I233)</f>
        <v/>
      </c>
    </row>
    <row r="231" customFormat="false" ht="15" hidden="false" customHeight="false" outlineLevel="0" collapsed="false">
      <c r="A231" s="0" t="str">
        <f aca="false">IF(Consolidated!B234="","",Consolidated!B234&amp;"|"&amp;TEXT(Consolidated!C234,"yyyymmdd")&amp;"|"&amp;HOUR(Consolidated!D234))</f>
        <v>BE|20260710|11</v>
      </c>
      <c r="B231" s="0" t="str">
        <f aca="false">IF(Consolidated!B234="","",SUBSTITUTE(SUBSTITUTE(TEXT(Consolidated!D234,"h:mm AM/PM")," AM","a")," PM","p")&amp;IF(Consolidated!E234="",""," "&amp;Consolidated!E234)&amp;IF(Consolidated!H234="",""," "&amp;Consolidated!H234))</f>
        <v>11:00a C-M-P AMs</v>
      </c>
      <c r="C231" s="0" t="str">
        <f aca="false">IF(Consolidated!B234="","",Consolidated!B234&amp;"|"&amp;TEXT(Consolidated!C234,"yyyymmdd"))</f>
        <v>BE|20260710</v>
      </c>
      <c r="D231" s="0" t="str">
        <f aca="false">IF(Consolidated!I234="","",Consolidated!I234)</f>
        <v/>
      </c>
    </row>
    <row r="232" customFormat="false" ht="15" hidden="false" customHeight="false" outlineLevel="0" collapsed="false">
      <c r="A232" s="0" t="str">
        <f aca="false">IF(Consolidated!B235="","",Consolidated!B235&amp;"|"&amp;TEXT(Consolidated!C235,"yyyymmdd")&amp;"|"&amp;HOUR(Consolidated!D235))</f>
        <v>BE|20260710|13</v>
      </c>
      <c r="B232" s="0" t="str">
        <f aca="false">IF(Consolidated!B235="","",SUBSTITUTE(SUBSTITUTE(TEXT(Consolidated!D235,"h:mm AM/PM")," AM","a")," PM","p")&amp;IF(Consolidated!E235="",""," "&amp;Consolidated!E235)&amp;IF(Consolidated!H235="",""," "&amp;Consolidated!H235))</f>
        <v>1:00p WFO</v>
      </c>
      <c r="C232" s="0" t="str">
        <f aca="false">IF(Consolidated!B235="","",Consolidated!B235&amp;"|"&amp;TEXT(Consolidated!C235,"yyyymmdd"))</f>
        <v>BE|20260710</v>
      </c>
      <c r="D232" s="0" t="str">
        <f aca="false">IF(Consolidated!I235="","",Consolidated!I235)</f>
        <v/>
      </c>
    </row>
    <row r="233" customFormat="false" ht="15" hidden="false" customHeight="false" outlineLevel="0" collapsed="false">
      <c r="A233" s="0" t="str">
        <f aca="false">IF(Consolidated!B236="","",Consolidated!B236&amp;"|"&amp;TEXT(Consolidated!C236,"yyyymmdd")&amp;"|"&amp;HOUR(Consolidated!D236))</f>
        <v>BE|20260710|17</v>
      </c>
      <c r="B233" s="0" t="str">
        <f aca="false">IF(Consolidated!B236="","",SUBSTITUTE(SUBSTITUTE(TEXT(Consolidated!D236,"h:mm AM/PM")," AM","a")," PM","p")&amp;IF(Consolidated!E236="",""," "&amp;Consolidated!E236)&amp;IF(Consolidated!H236="",""," "&amp;Consolidated!H236))</f>
        <v>5:00p Blitz</v>
      </c>
      <c r="C233" s="0" t="str">
        <f aca="false">IF(Consolidated!B236="","",Consolidated!B236&amp;"|"&amp;TEXT(Consolidated!C236,"yyyymmdd"))</f>
        <v>BE|20260710</v>
      </c>
      <c r="D233" s="0" t="str">
        <f aca="false">IF(Consolidated!I236="","",Consolidated!I236)</f>
        <v/>
      </c>
    </row>
    <row r="234" customFormat="false" ht="15" hidden="false" customHeight="false" outlineLevel="0" collapsed="false">
      <c r="A234" s="0" t="str">
        <f aca="false">IF(Consolidated!B237="","",Consolidated!B237&amp;"|"&amp;TEXT(Consolidated!C237,"yyyymmdd")&amp;"|"&amp;HOUR(Consolidated!D237))</f>
        <v>BE|20260710|20</v>
      </c>
      <c r="B234" s="0" t="str">
        <f aca="false">IF(Consolidated!B237="","",SUBSTITUTE(SUBSTITUTE(TEXT(Consolidated!D237,"h:mm AM/PM")," AM","a")," PM","p")&amp;IF(Consolidated!E237="",""," "&amp;Consolidated!E237)&amp;IF(Consolidated!H237="",""," "&amp;Consolidated!H237))</f>
        <v>8:00p TSC (All)</v>
      </c>
      <c r="C234" s="0" t="str">
        <f aca="false">IF(Consolidated!B237="","",Consolidated!B237&amp;"|"&amp;TEXT(Consolidated!C237,"yyyymmdd"))</f>
        <v>BE|20260710</v>
      </c>
      <c r="D234" s="0" t="str">
        <f aca="false">IF(Consolidated!I237="","",Consolidated!I237)</f>
        <v/>
      </c>
    </row>
    <row r="235" customFormat="false" ht="15" hidden="false" customHeight="false" outlineLevel="0" collapsed="false">
      <c r="A235" s="0" t="str">
        <f aca="false">IF(Consolidated!B238="","",Consolidated!B238&amp;"|"&amp;TEXT(Consolidated!C238,"yyyymmdd")&amp;"|"&amp;HOUR(Consolidated!D238))</f>
        <v>Branch Central|20260710|12</v>
      </c>
      <c r="B235" s="0" t="str">
        <f aca="false">IF(Consolidated!B238="","",SUBSTITUTE(SUBSTITUTE(TEXT(Consolidated!D238,"h:mm AM/PM")," AM","a")," PM","p")&amp;IF(Consolidated!E238="",""," "&amp;Consolidated!E238)&amp;IF(Consolidated!H238="",""," "&amp;Consolidated!H238))</f>
        <v>12:30p E-C 1s &amp; Slow</v>
      </c>
      <c r="C235" s="0" t="str">
        <f aca="false">IF(Consolidated!B238="","",Consolidated!B238&amp;"|"&amp;TEXT(Consolidated!C238,"yyyymmdd"))</f>
        <v>Branch Central|20260710</v>
      </c>
      <c r="D235" s="0" t="str">
        <f aca="false">IF(Consolidated!I238="","",Consolidated!I238)</f>
        <v/>
      </c>
    </row>
    <row r="236" customFormat="false" ht="15" hidden="false" customHeight="false" outlineLevel="0" collapsed="false">
      <c r="A236" s="0" t="str">
        <f aca="false">IF(Consolidated!B239="","",Consolidated!B239&amp;"|"&amp;TEXT(Consolidated!C239,"yyyymmdd")&amp;"|"&amp;HOUR(Consolidated!D239))</f>
        <v>Branch Vendor|20260710|18</v>
      </c>
      <c r="B236" s="0" t="str">
        <f aca="false">IF(Consolidated!B239="","",SUBSTITUTE(SUBSTITUTE(TEXT(Consolidated!D239,"h:mm AM/PM")," AM","a")," PM","p")&amp;IF(Consolidated!E239="",""," "&amp;Consolidated!E239)&amp;IF(Consolidated!H239="",""," "&amp;Consolidated!H239))</f>
        <v>6:00p Vendor</v>
      </c>
      <c r="C236" s="0" t="str">
        <f aca="false">IF(Consolidated!B239="","",Consolidated!B239&amp;"|"&amp;TEXT(Consolidated!C239,"yyyymmdd"))</f>
        <v>Branch Vendor|20260710</v>
      </c>
      <c r="D236" s="0" t="str">
        <f aca="false">IF(Consolidated!I239="","",Consolidated!I239)</f>
        <v/>
      </c>
    </row>
    <row r="237" customFormat="false" ht="15" hidden="false" customHeight="false" outlineLevel="0" collapsed="false">
      <c r="A237" s="0" t="str">
        <f aca="false">IF(Consolidated!B240="","",Consolidated!B240&amp;"|"&amp;TEXT(Consolidated!C240,"yyyymmdd")&amp;"|"&amp;HOUR(Consolidated!D240))</f>
        <v>Card|20260710|8</v>
      </c>
      <c r="B237" s="0" t="str">
        <f aca="false">IF(Consolidated!B240="","",SUBSTITUTE(SUBSTITUTE(TEXT(Consolidated!D240,"h:mm AM/PM")," AM","a")," PM","p")&amp;IF(Consolidated!E240="",""," "&amp;Consolidated!E240)&amp;IF(Consolidated!H240="",""," "&amp;Consolidated!H240))</f>
        <v>8:00a</v>
      </c>
      <c r="C237" s="0" t="str">
        <f aca="false">IF(Consolidated!B240="","",Consolidated!B240&amp;"|"&amp;TEXT(Consolidated!C240,"yyyymmdd"))</f>
        <v>Card|20260710</v>
      </c>
      <c r="D237" s="0" t="str">
        <f aca="false">IF(Consolidated!I240="","",Consolidated!I240)</f>
        <v/>
      </c>
    </row>
    <row r="238" customFormat="false" ht="15" hidden="false" customHeight="false" outlineLevel="0" collapsed="false">
      <c r="A238" s="0" t="str">
        <f aca="false">IF(Consolidated!B241="","",Consolidated!B241&amp;"|"&amp;TEXT(Consolidated!C241,"yyyymmdd")&amp;"|"&amp;HOUR(Consolidated!D241))</f>
        <v>Card|20260710|12</v>
      </c>
      <c r="B238" s="0" t="str">
        <f aca="false">IF(Consolidated!B241="","",SUBSTITUTE(SUBSTITUTE(TEXT(Consolidated!D241,"h:mm AM/PM")," AM","a")," PM","p")&amp;IF(Consolidated!E241="",""," "&amp;Consolidated!E241)&amp;IF(Consolidated!H241="",""," "&amp;Consolidated!H241))</f>
        <v>12:00p</v>
      </c>
      <c r="C238" s="0" t="str">
        <f aca="false">IF(Consolidated!B241="","",Consolidated!B241&amp;"|"&amp;TEXT(Consolidated!C241,"yyyymmdd"))</f>
        <v>Card|20260710</v>
      </c>
      <c r="D238" s="0" t="str">
        <f aca="false">IF(Consolidated!I241="","",Consolidated!I241)</f>
        <v/>
      </c>
    </row>
    <row r="239" customFormat="false" ht="15" hidden="false" customHeight="false" outlineLevel="0" collapsed="false">
      <c r="A239" s="0" t="str">
        <f aca="false">IF(Consolidated!B242="","",Consolidated!B242&amp;"|"&amp;TEXT(Consolidated!C242,"yyyymmdd")&amp;"|"&amp;HOUR(Consolidated!D242))</f>
        <v>Card|20260710|14</v>
      </c>
      <c r="B239" s="0" t="str">
        <f aca="false">IF(Consolidated!B242="","",SUBSTITUTE(SUBSTITUTE(TEXT(Consolidated!D242,"h:mm AM/PM")," AM","a")," PM","p")&amp;IF(Consolidated!E242="",""," "&amp;Consolidated!E242)&amp;IF(Consolidated!H242="",""," "&amp;Consolidated!H242))</f>
        <v>2:00p ASAP</v>
      </c>
      <c r="C239" s="0" t="str">
        <f aca="false">IF(Consolidated!B242="","",Consolidated!B242&amp;"|"&amp;TEXT(Consolidated!C242,"yyyymmdd"))</f>
        <v>Card|20260710</v>
      </c>
      <c r="D239" s="0" t="str">
        <f aca="false">IF(Consolidated!I242="","",Consolidated!I242)</f>
        <v/>
      </c>
    </row>
    <row r="240" customFormat="false" ht="15" hidden="false" customHeight="false" outlineLevel="0" collapsed="false">
      <c r="A240" s="0" t="str">
        <f aca="false">IF(Consolidated!B243="","",Consolidated!B243&amp;"|"&amp;TEXT(Consolidated!C243,"yyyymmdd")&amp;"|"&amp;HOUR(Consolidated!D243))</f>
        <v>Card|20260710|16</v>
      </c>
      <c r="B240" s="0" t="str">
        <f aca="false">IF(Consolidated!B243="","",SUBSTITUTE(SUBSTITUTE(TEXT(Consolidated!D243,"h:mm AM/PM")," AM","a")," PM","p")&amp;IF(Consolidated!E243="",""," "&amp;Consolidated!E243)&amp;IF(Consolidated!H243="",""," "&amp;Consolidated!H243))</f>
        <v>4:00p ASAP</v>
      </c>
      <c r="C240" s="0" t="str">
        <f aca="false">IF(Consolidated!B243="","",Consolidated!B243&amp;"|"&amp;TEXT(Consolidated!C243,"yyyymmdd"))</f>
        <v>Card|20260710</v>
      </c>
      <c r="D240" s="0" t="str">
        <f aca="false">IF(Consolidated!I243="","",Consolidated!I243)</f>
        <v/>
      </c>
    </row>
    <row r="241" customFormat="false" ht="15" hidden="false" customHeight="false" outlineLevel="0" collapsed="false">
      <c r="A241" s="0" t="str">
        <f aca="false">IF(Consolidated!B244="","",Consolidated!B244&amp;"|"&amp;TEXT(Consolidated!C244,"yyyymmdd")&amp;"|"&amp;HOUR(Consolidated!D244))</f>
        <v>Card|20260710|18</v>
      </c>
      <c r="B241" s="0" t="str">
        <f aca="false">IF(Consolidated!B244="","",SUBSTITUTE(SUBSTITUTE(TEXT(Consolidated!D244,"h:mm AM/PM")," AM","a")," PM","p")&amp;IF(Consolidated!E244="",""," "&amp;Consolidated!E244)&amp;IF(Consolidated!H244="",""," "&amp;Consolidated!H244))</f>
        <v>6:00p ASAP</v>
      </c>
      <c r="C241" s="0" t="str">
        <f aca="false">IF(Consolidated!B244="","",Consolidated!B244&amp;"|"&amp;TEXT(Consolidated!C244,"yyyymmdd"))</f>
        <v>Card|20260710</v>
      </c>
      <c r="D241" s="0" t="str">
        <f aca="false">IF(Consolidated!I244="","",Consolidated!I244)</f>
        <v/>
      </c>
    </row>
    <row r="242" customFormat="false" ht="15" hidden="false" customHeight="false" outlineLevel="0" collapsed="false">
      <c r="A242" s="0" t="str">
        <f aca="false">IF(Consolidated!B245="","",Consolidated!B245&amp;"|"&amp;TEXT(Consolidated!C245,"yyyymmdd")&amp;"|"&amp;HOUR(Consolidated!D245))</f>
        <v>FE|20260710|8</v>
      </c>
      <c r="B242" s="0" t="str">
        <f aca="false">IF(Consolidated!B245="","",SUBSTITUTE(SUBSTITUTE(TEXT(Consolidated!D245,"h:mm AM/PM")," AM","a")," PM","p")&amp;IF(Consolidated!E245="",""," "&amp;Consolidated!E245)&amp;IF(Consolidated!H245="",""," "&amp;Consolidated!H245))</f>
        <v>8:30a E AMs</v>
      </c>
      <c r="C242" s="0" t="str">
        <f aca="false">IF(Consolidated!B245="","",Consolidated!B245&amp;"|"&amp;TEXT(Consolidated!C245,"yyyymmdd"))</f>
        <v>FE|20260710</v>
      </c>
      <c r="D242" s="0" t="str">
        <f aca="false">IF(Consolidated!I245="","",Consolidated!I245)</f>
        <v/>
      </c>
    </row>
    <row r="243" customFormat="false" ht="15" hidden="false" customHeight="false" outlineLevel="0" collapsed="false">
      <c r="A243" s="0" t="str">
        <f aca="false">IF(Consolidated!B246="","",Consolidated!B246&amp;"|"&amp;TEXT(Consolidated!C246,"yyyymmdd")&amp;"|"&amp;HOUR(Consolidated!D246))</f>
        <v>FE|20260710|11</v>
      </c>
      <c r="B243" s="0" t="str">
        <f aca="false">IF(Consolidated!B246="","",SUBSTITUTE(SUBSTITUTE(TEXT(Consolidated!D246,"h:mm AM/PM")," AM","a")," PM","p")&amp;IF(Consolidated!E246="",""," "&amp;Consolidated!E246)&amp;IF(Consolidated!H246="",""," "&amp;Consolidated!H246))</f>
        <v>11:00a C-M-P AMs</v>
      </c>
      <c r="C243" s="0" t="str">
        <f aca="false">IF(Consolidated!B246="","",Consolidated!B246&amp;"|"&amp;TEXT(Consolidated!C246,"yyyymmdd"))</f>
        <v>FE|20260710</v>
      </c>
      <c r="D243" s="0" t="str">
        <f aca="false">IF(Consolidated!I246="","",Consolidated!I246)</f>
        <v/>
      </c>
    </row>
    <row r="244" customFormat="false" ht="15" hidden="false" customHeight="false" outlineLevel="0" collapsed="false">
      <c r="A244" s="0" t="str">
        <f aca="false">IF(Consolidated!B247="","",Consolidated!B247&amp;"|"&amp;TEXT(Consolidated!C247,"yyyymmdd")&amp;"|"&amp;HOUR(Consolidated!D247))</f>
        <v>FE|20260710|12</v>
      </c>
      <c r="B244" s="0" t="str">
        <f aca="false">IF(Consolidated!B247="","",SUBSTITUTE(SUBSTITUTE(TEXT(Consolidated!D247,"h:mm AM/PM")," AM","a")," PM","p")&amp;IF(Consolidated!E247="",""," "&amp;Consolidated!E247)&amp;IF(Consolidated!H247="",""," "&amp;Consolidated!H247))</f>
        <v>12:30p Branch</v>
      </c>
      <c r="C244" s="0" t="str">
        <f aca="false">IF(Consolidated!B247="","",Consolidated!B247&amp;"|"&amp;TEXT(Consolidated!C247,"yyyymmdd"))</f>
        <v>FE|20260710</v>
      </c>
      <c r="D244" s="0" t="str">
        <f aca="false">IF(Consolidated!I247="","",Consolidated!I247)</f>
        <v/>
      </c>
    </row>
    <row r="245" customFormat="false" ht="15" hidden="false" customHeight="false" outlineLevel="0" collapsed="false">
      <c r="A245" s="0" t="str">
        <f aca="false">IF(Consolidated!B248="","",Consolidated!B248&amp;"|"&amp;TEXT(Consolidated!C248,"yyyymmdd")&amp;"|"&amp;HOUR(Consolidated!D248))</f>
        <v>FE|20260710|13</v>
      </c>
      <c r="B245" s="0" t="str">
        <f aca="false">IF(Consolidated!B248="","",SUBSTITUTE(SUBSTITUTE(TEXT(Consolidated!D248,"h:mm AM/PM")," AM","a")," PM","p")&amp;IF(Consolidated!E248="",""," "&amp;Consolidated!E248)&amp;IF(Consolidated!H248="",""," "&amp;Consolidated!H248))</f>
        <v>1:30p WFO</v>
      </c>
      <c r="C245" s="0" t="str">
        <f aca="false">IF(Consolidated!B248="","",Consolidated!B248&amp;"|"&amp;TEXT(Consolidated!C248,"yyyymmdd"))</f>
        <v>FE|20260710</v>
      </c>
      <c r="D245" s="0" t="str">
        <f aca="false">IF(Consolidated!I248="","",Consolidated!I248)</f>
        <v/>
      </c>
    </row>
    <row r="246" customFormat="false" ht="15" hidden="false" customHeight="false" outlineLevel="0" collapsed="false">
      <c r="A246" s="0" t="str">
        <f aca="false">IF(Consolidated!B249="","",Consolidated!B249&amp;"|"&amp;TEXT(Consolidated!C249,"yyyymmdd")&amp;"|"&amp;HOUR(Consolidated!D249))</f>
        <v>FE|20260710|17</v>
      </c>
      <c r="B246" s="0" t="str">
        <f aca="false">IF(Consolidated!B249="","",SUBSTITUTE(SUBSTITUTE(TEXT(Consolidated!D249,"h:mm AM/PM")," AM","a")," PM","p")&amp;IF(Consolidated!E249="",""," "&amp;Consolidated!E249)&amp;IF(Consolidated!H249="",""," "&amp;Consolidated!H249))</f>
        <v>5:00p Blitz</v>
      </c>
      <c r="C246" s="0" t="str">
        <f aca="false">IF(Consolidated!B249="","",Consolidated!B249&amp;"|"&amp;TEXT(Consolidated!C249,"yyyymmdd"))</f>
        <v>FE|20260710</v>
      </c>
      <c r="D246" s="0" t="str">
        <f aca="false">IF(Consolidated!I249="","",Consolidated!I249)</f>
        <v/>
      </c>
    </row>
    <row r="247" customFormat="false" ht="15" hidden="false" customHeight="false" outlineLevel="0" collapsed="false">
      <c r="A247" s="0" t="str">
        <f aca="false">IF(Consolidated!B250="","",Consolidated!B250&amp;"|"&amp;TEXT(Consolidated!C250,"yyyymmdd")&amp;"|"&amp;HOUR(Consolidated!D250))</f>
        <v>FE|20260710|20</v>
      </c>
      <c r="B247" s="0" t="str">
        <f aca="false">IF(Consolidated!B250="","",SUBSTITUTE(SUBSTITUTE(TEXT(Consolidated!D250,"h:mm AM/PM")," AM","a")," PM","p")&amp;IF(Consolidated!E250="",""," "&amp;Consolidated!E250)&amp;IF(Consolidated!H250="",""," "&amp;Consolidated!H250))</f>
        <v>8:00p TSC (All)</v>
      </c>
      <c r="C247" s="0" t="str">
        <f aca="false">IF(Consolidated!B250="","",Consolidated!B250&amp;"|"&amp;TEXT(Consolidated!C250,"yyyymmdd"))</f>
        <v>FE|20260710</v>
      </c>
      <c r="D247" s="0" t="str">
        <f aca="false">IF(Consolidated!I250="","",Consolidated!I250)</f>
        <v/>
      </c>
    </row>
    <row r="248" customFormat="false" ht="15" hidden="false" customHeight="false" outlineLevel="0" collapsed="false">
      <c r="A248" s="0" t="str">
        <f aca="false">IF(Consolidated!B251="","",Consolidated!B251&amp;"|"&amp;TEXT(Consolidated!C251,"yyyymmdd")&amp;"|"&amp;HOUR(Consolidated!D251))</f>
        <v>Optional Products|20260710|0</v>
      </c>
      <c r="B248" s="0" t="str">
        <f aca="false">IF(Consolidated!B251="","",SUBSTITUTE(SUBSTITUTE(TEXT(Consolidated!D251,"h:mm AM/PM")," AM","a")," PM","p")&amp;IF(Consolidated!E251="",""," "&amp;Consolidated!E251)&amp;IF(Consolidated!H251="",""," "&amp;Consolidated!H251))</f>
        <v>12:00a Second/Third</v>
      </c>
      <c r="C248" s="0" t="str">
        <f aca="false">IF(Consolidated!B251="","",Consolidated!B251&amp;"|"&amp;TEXT(Consolidated!C251,"yyyymmdd"))</f>
        <v>Optional Products|20260710</v>
      </c>
      <c r="D248" s="0" t="str">
        <f aca="false">IF(Consolidated!I251="","",Consolidated!I251)</f>
        <v>Priority Order: Second/Third</v>
      </c>
    </row>
    <row r="249" customFormat="false" ht="15" hidden="false" customHeight="false" outlineLevel="0" collapsed="false">
      <c r="A249" s="0" t="str">
        <f aca="false">IF(Consolidated!B252="","",Consolidated!B252&amp;"|"&amp;TEXT(Consolidated!C252,"yyyymmdd")&amp;"|"&amp;HOUR(Consolidated!D252))</f>
        <v>PCO|20260710|8</v>
      </c>
      <c r="B249" s="0" t="str">
        <f aca="false">IF(Consolidated!B252="","",SUBSTITUTE(SUBSTITUTE(TEXT(Consolidated!D252,"h:mm AM/PM")," AM","a")," PM","p")&amp;IF(Consolidated!E252="",""," "&amp;Consolidated!E252)&amp;IF(Consolidated!H252="",""," "&amp;Consolidated!H252))</f>
        <v>8:15a E AMs</v>
      </c>
      <c r="C249" s="0" t="str">
        <f aca="false">IF(Consolidated!B252="","",Consolidated!B252&amp;"|"&amp;TEXT(Consolidated!C252,"yyyymmdd"))</f>
        <v>PCO|20260710</v>
      </c>
      <c r="D249" s="0" t="str">
        <f aca="false">IF(Consolidated!I252="","",Consolidated!I252)</f>
        <v/>
      </c>
    </row>
    <row r="250" customFormat="false" ht="15" hidden="false" customHeight="false" outlineLevel="0" collapsed="false">
      <c r="A250" s="0" t="str">
        <f aca="false">IF(Consolidated!B253="","",Consolidated!B253&amp;"|"&amp;TEXT(Consolidated!C253,"yyyymmdd")&amp;"|"&amp;HOUR(Consolidated!D253))</f>
        <v>PCO|20260710|11</v>
      </c>
      <c r="B250" s="0" t="str">
        <f aca="false">IF(Consolidated!B253="","",SUBSTITUTE(SUBSTITUTE(TEXT(Consolidated!D253,"h:mm AM/PM")," AM","a")," PM","p")&amp;IF(Consolidated!E253="",""," "&amp;Consolidated!E253)&amp;IF(Consolidated!H253="",""," "&amp;Consolidated!H253))</f>
        <v>11:15a C-M-P AMs</v>
      </c>
      <c r="C250" s="0" t="str">
        <f aca="false">IF(Consolidated!B253="","",Consolidated!B253&amp;"|"&amp;TEXT(Consolidated!C253,"yyyymmdd"))</f>
        <v>PCO|20260710</v>
      </c>
      <c r="D250" s="0" t="str">
        <f aca="false">IF(Consolidated!I253="","",Consolidated!I253)</f>
        <v/>
      </c>
    </row>
    <row r="251" customFormat="false" ht="15" hidden="false" customHeight="false" outlineLevel="0" collapsed="false">
      <c r="A251" s="0" t="str">
        <f aca="false">IF(Consolidated!B254="","",Consolidated!B254&amp;"|"&amp;TEXT(Consolidated!C254,"yyyymmdd")&amp;"|"&amp;HOUR(Consolidated!D254))</f>
        <v>PCO|20260710|13</v>
      </c>
      <c r="B251" s="0" t="str">
        <f aca="false">IF(Consolidated!B254="","",SUBSTITUTE(SUBSTITUTE(TEXT(Consolidated!D254,"h:mm AM/PM")," AM","a")," PM","p")&amp;IF(Consolidated!E254="",""," "&amp;Consolidated!E254)&amp;IF(Consolidated!H254="",""," "&amp;Consolidated!H254))</f>
        <v>1:00p WFO</v>
      </c>
      <c r="C251" s="0" t="str">
        <f aca="false">IF(Consolidated!B254="","",Consolidated!B254&amp;"|"&amp;TEXT(Consolidated!C254,"yyyymmdd"))</f>
        <v>PCO|20260710</v>
      </c>
      <c r="D251" s="0" t="str">
        <f aca="false">IF(Consolidated!I254="","",Consolidated!I254)</f>
        <v/>
      </c>
    </row>
    <row r="252" customFormat="false" ht="15" hidden="false" customHeight="false" outlineLevel="0" collapsed="false">
      <c r="A252" s="0" t="str">
        <f aca="false">IF(Consolidated!B255="","",Consolidated!B255&amp;"|"&amp;TEXT(Consolidated!C255,"yyyymmdd")&amp;"|"&amp;HOUR(Consolidated!D255))</f>
        <v>PCO|20260710|17</v>
      </c>
      <c r="B252" s="0" t="str">
        <f aca="false">IF(Consolidated!B255="","",SUBSTITUTE(SUBSTITUTE(TEXT(Consolidated!D255,"h:mm AM/PM")," AM","a")," PM","p")&amp;IF(Consolidated!E255="",""," "&amp;Consolidated!E255)&amp;IF(Consolidated!H255="",""," "&amp;Consolidated!H255))</f>
        <v>5:00p Blitz</v>
      </c>
      <c r="C252" s="0" t="str">
        <f aca="false">IF(Consolidated!B255="","",Consolidated!B255&amp;"|"&amp;TEXT(Consolidated!C255,"yyyymmdd"))</f>
        <v>PCO|20260710</v>
      </c>
      <c r="D252" s="0" t="str">
        <f aca="false">IF(Consolidated!I255="","",Consolidated!I255)</f>
        <v/>
      </c>
    </row>
    <row r="253" customFormat="false" ht="15" hidden="false" customHeight="false" outlineLevel="0" collapsed="false">
      <c r="A253" s="0" t="str">
        <f aca="false">IF(Consolidated!B256="","",Consolidated!B256&amp;"|"&amp;TEXT(Consolidated!C256,"yyyymmdd")&amp;"|"&amp;HOUR(Consolidated!D256))</f>
        <v>PCO|20260710|20</v>
      </c>
      <c r="B253" s="0" t="str">
        <f aca="false">IF(Consolidated!B256="","",SUBSTITUTE(SUBSTITUTE(TEXT(Consolidated!D256,"h:mm AM/PM")," AM","a")," PM","p")&amp;IF(Consolidated!E256="",""," "&amp;Consolidated!E256)&amp;IF(Consolidated!H256="",""," "&amp;Consolidated!H256))</f>
        <v>8:00p TSC (All)</v>
      </c>
      <c r="C253" s="0" t="str">
        <f aca="false">IF(Consolidated!B256="","",Consolidated!B256&amp;"|"&amp;TEXT(Consolidated!C256,"yyyymmdd"))</f>
        <v>PCO|20260710</v>
      </c>
      <c r="D253" s="0" t="str">
        <f aca="false">IF(Consolidated!I256="","",Consolidated!I256)</f>
        <v/>
      </c>
    </row>
    <row r="254" customFormat="false" ht="15" hidden="false" customHeight="false" outlineLevel="0" collapsed="false">
      <c r="A254" s="0" t="str">
        <f aca="false">IF(Consolidated!B257="","",Consolidated!B257&amp;"|"&amp;TEXT(Consolidated!C257,"yyyymmdd")&amp;"|"&amp;HOUR(Consolidated!D257))</f>
        <v>Repo|20260710|8</v>
      </c>
      <c r="B254" s="0" t="str">
        <f aca="false">IF(Consolidated!B257="","",SUBSTITUTE(SUBSTITUTE(TEXT(Consolidated!D257,"h:mm AM/PM")," AM","a")," PM","p")&amp;IF(Consolidated!E257="",""," "&amp;Consolidated!E257)&amp;IF(Consolidated!H257="",""," "&amp;Consolidated!H257))</f>
        <v>8:15a Repo</v>
      </c>
      <c r="C254" s="0" t="str">
        <f aca="false">IF(Consolidated!B257="","",Consolidated!B257&amp;"|"&amp;TEXT(Consolidated!C257,"yyyymmdd"))</f>
        <v>Repo|20260710</v>
      </c>
      <c r="D254" s="0" t="str">
        <f aca="false">IF(Consolidated!I257="","",Consolidated!I257)</f>
        <v>AM Daily</v>
      </c>
    </row>
    <row r="255" customFormat="false" ht="15" hidden="false" customHeight="false" outlineLevel="0" collapsed="false">
      <c r="A255" s="0" t="str">
        <f aca="false">IF(Consolidated!B258="","",Consolidated!B258&amp;"|"&amp;TEXT(Consolidated!C258,"yyyymmdd")&amp;"|"&amp;HOUR(Consolidated!D258))</f>
        <v>Repo|20260710|10</v>
      </c>
      <c r="B255" s="0" t="str">
        <f aca="false">IF(Consolidated!B258="","",SUBSTITUTE(SUBSTITUTE(TEXT(Consolidated!D258,"h:mm AM/PM")," AM","a")," PM","p")&amp;IF(Consolidated!E258="",""," "&amp;Consolidated!E258)&amp;IF(Consolidated!H258="",""," "&amp;Consolidated!H258))</f>
        <v>10:00a Repo</v>
      </c>
      <c r="C255" s="0" t="str">
        <f aca="false">IF(Consolidated!B258="","",Consolidated!B258&amp;"|"&amp;TEXT(Consolidated!C258,"yyyymmdd"))</f>
        <v>Repo|20260710</v>
      </c>
      <c r="D255" s="0" t="str">
        <f aca="false">IF(Consolidated!I258="","",Consolidated!I258)</f>
        <v/>
      </c>
    </row>
    <row r="256" customFormat="false" ht="15" hidden="false" customHeight="false" outlineLevel="0" collapsed="false">
      <c r="A256" s="0" t="str">
        <f aca="false">IF(Consolidated!B259="","",Consolidated!B259&amp;"|"&amp;TEXT(Consolidated!C259,"yyyymmdd")&amp;"|"&amp;HOUR(Consolidated!D259))</f>
        <v>Repo|20260710|12</v>
      </c>
      <c r="B256" s="0" t="str">
        <f aca="false">IF(Consolidated!B259="","",SUBSTITUTE(SUBSTITUTE(TEXT(Consolidated!D259,"h:mm AM/PM")," AM","a")," PM","p")&amp;IF(Consolidated!E259="",""," "&amp;Consolidated!E259)&amp;IF(Consolidated!H259="",""," "&amp;Consolidated!H259))</f>
        <v>12:00p RP</v>
      </c>
      <c r="C256" s="0" t="str">
        <f aca="false">IF(Consolidated!B259="","",Consolidated!B259&amp;"|"&amp;TEXT(Consolidated!C259,"yyyymmdd"))</f>
        <v>Repo|20260710</v>
      </c>
      <c r="D256" s="0" t="str">
        <f aca="false">IF(Consolidated!I259="","",Consolidated!I259)</f>
        <v/>
      </c>
    </row>
    <row r="257" customFormat="false" ht="15" hidden="false" customHeight="false" outlineLevel="0" collapsed="false">
      <c r="A257" s="0" t="str">
        <f aca="false">IF(Consolidated!B260="","",Consolidated!B260&amp;"|"&amp;TEXT(Consolidated!C260,"yyyymmdd")&amp;"|"&amp;HOUR(Consolidated!D260))</f>
        <v>Repo|20260710|13</v>
      </c>
      <c r="B257" s="0" t="str">
        <f aca="false">IF(Consolidated!B260="","",SUBSTITUTE(SUBSTITUTE(TEXT(Consolidated!D260,"h:mm AM/PM")," AM","a")," PM","p")&amp;IF(Consolidated!E260="",""," "&amp;Consolidated!E260)&amp;IF(Consolidated!H260="",""," "&amp;Consolidated!H260))</f>
        <v>1:00p Repo</v>
      </c>
      <c r="C257" s="0" t="str">
        <f aca="false">IF(Consolidated!B260="","",Consolidated!B260&amp;"|"&amp;TEXT(Consolidated!C260,"yyyymmdd"))</f>
        <v>Repo|20260710</v>
      </c>
      <c r="D257" s="0" t="str">
        <f aca="false">IF(Consolidated!I260="","",Consolidated!I260)</f>
        <v/>
      </c>
    </row>
    <row r="258" customFormat="false" ht="15" hidden="false" customHeight="false" outlineLevel="0" collapsed="false">
      <c r="A258" s="0" t="str">
        <f aca="false">IF(Consolidated!B261="","",Consolidated!B261&amp;"|"&amp;TEXT(Consolidated!C261,"yyyymmdd")&amp;"|"&amp;HOUR(Consolidated!D261))</f>
        <v>ARC|20260711|11</v>
      </c>
      <c r="B258" s="0" t="str">
        <f aca="false">IF(Consolidated!B261="","",SUBSTITUTE(SUBSTITUTE(TEXT(Consolidated!D261,"h:mm AM/PM")," AM","a")," PM","p")&amp;IF(Consolidated!E261="",""," "&amp;Consolidated!E261)&amp;IF(Consolidated!H261="",""," "&amp;Consolidated!H261))</f>
        <v>11:00a NCs</v>
      </c>
      <c r="C258" s="0" t="str">
        <f aca="false">IF(Consolidated!B261="","",Consolidated!B261&amp;"|"&amp;TEXT(Consolidated!C261,"yyyymmdd"))</f>
        <v>ARC|20260711</v>
      </c>
      <c r="D258" s="0" t="str">
        <f aca="false">IF(Consolidated!I261="","",Consolidated!I261)</f>
        <v>Broken Promise / Recent Pay / Dialer Only</v>
      </c>
    </row>
    <row r="259" customFormat="false" ht="15" hidden="false" customHeight="false" outlineLevel="0" collapsed="false">
      <c r="A259" s="0" t="str">
        <f aca="false">IF(Consolidated!B262="","",Consolidated!B262&amp;"|"&amp;TEXT(Consolidated!C262,"yyyymmdd")&amp;"|"&amp;HOUR(Consolidated!D262))</f>
        <v>Auto|20260711|10</v>
      </c>
      <c r="B259" s="0" t="str">
        <f aca="false">IF(Consolidated!B262="","",SUBSTITUTE(SUBSTITUTE(TEXT(Consolidated!D262,"h:mm AM/PM")," AM","a")," PM","p")&amp;IF(Consolidated!E262="",""," "&amp;Consolidated!E262)&amp;IF(Consolidated!H262="",""," "&amp;Consolidated!H262))</f>
        <v>10:00a Blitz</v>
      </c>
      <c r="C259" s="0" t="str">
        <f aca="false">IF(Consolidated!B262="","",Consolidated!B262&amp;"|"&amp;TEXT(Consolidated!C262,"yyyymmdd"))</f>
        <v>Auto|20260711</v>
      </c>
      <c r="D259" s="0" t="str">
        <f aca="false">IF(Consolidated!I262="","",Consolidated!I262)</f>
        <v/>
      </c>
    </row>
    <row r="260" customFormat="false" ht="15" hidden="false" customHeight="false" outlineLevel="0" collapsed="false">
      <c r="A260" s="0" t="str">
        <f aca="false">IF(Consolidated!B263="","",Consolidated!B263&amp;"|"&amp;TEXT(Consolidated!C263,"yyyymmdd")&amp;"|"&amp;HOUR(Consolidated!D263))</f>
        <v>BE|20260711|10</v>
      </c>
      <c r="B260" s="0" t="str">
        <f aca="false">IF(Consolidated!B263="","",SUBSTITUTE(SUBSTITUTE(TEXT(Consolidated!D263,"h:mm AM/PM")," AM","a")," PM","p")&amp;IF(Consolidated!E263="",""," "&amp;Consolidated!E263)&amp;IF(Consolidated!H263="",""," "&amp;Consolidated!H263))</f>
        <v>10:00a Blitz</v>
      </c>
      <c r="C260" s="0" t="str">
        <f aca="false">IF(Consolidated!B263="","",Consolidated!B263&amp;"|"&amp;TEXT(Consolidated!C263,"yyyymmdd"))</f>
        <v>BE|20260711</v>
      </c>
      <c r="D260" s="0" t="str">
        <f aca="false">IF(Consolidated!I263="","",Consolidated!I263)</f>
        <v/>
      </c>
    </row>
    <row r="261" customFormat="false" ht="15" hidden="false" customHeight="false" outlineLevel="0" collapsed="false">
      <c r="A261" s="0" t="str">
        <f aca="false">IF(Consolidated!B264="","",Consolidated!B264&amp;"|"&amp;TEXT(Consolidated!C264,"yyyymmdd")&amp;"|"&amp;HOUR(Consolidated!D264))</f>
        <v>Branch Vendor|20260711|10</v>
      </c>
      <c r="B261" s="0" t="str">
        <f aca="false">IF(Consolidated!B264="","",SUBSTITUTE(SUBSTITUTE(TEXT(Consolidated!D264,"h:mm AM/PM")," AM","a")," PM","p")&amp;IF(Consolidated!E264="",""," "&amp;Consolidated!E264)&amp;IF(Consolidated!H264="",""," "&amp;Consolidated!H264))</f>
        <v>10:00a Vendor</v>
      </c>
      <c r="C261" s="0" t="str">
        <f aca="false">IF(Consolidated!B264="","",Consolidated!B264&amp;"|"&amp;TEXT(Consolidated!C264,"yyyymmdd"))</f>
        <v>Branch Vendor|20260711</v>
      </c>
      <c r="D261" s="0" t="str">
        <f aca="false">IF(Consolidated!I264="","",Consolidated!I264)</f>
        <v/>
      </c>
    </row>
    <row r="262" customFormat="false" ht="15" hidden="false" customHeight="false" outlineLevel="0" collapsed="false">
      <c r="A262" s="0" t="str">
        <f aca="false">IF(Consolidated!B265="","",Consolidated!B265&amp;"|"&amp;TEXT(Consolidated!C265,"yyyymmdd")&amp;"|"&amp;HOUR(Consolidated!D265))</f>
        <v>Card|20260711|1</v>
      </c>
      <c r="B262" s="0" t="str">
        <f aca="false">IF(Consolidated!B265="","",SUBSTITUTE(SUBSTITUTE(TEXT(Consolidated!D265,"h:mm AM/PM")," AM","a")," PM","p")&amp;IF(Consolidated!E265="",""," "&amp;Consolidated!E265)&amp;IF(Consolidated!H265="",""," "&amp;Consolidated!H265))</f>
        <v>1:00a</v>
      </c>
      <c r="C262" s="0" t="str">
        <f aca="false">IF(Consolidated!B265="","",Consolidated!B265&amp;"|"&amp;TEXT(Consolidated!C265,"yyyymmdd"))</f>
        <v>Card|20260711</v>
      </c>
      <c r="D262" s="0" t="str">
        <f aca="false">IF(Consolidated!I265="","",Consolidated!I265)</f>
        <v>Constant</v>
      </c>
    </row>
    <row r="263" customFormat="false" ht="15" hidden="false" customHeight="false" outlineLevel="0" collapsed="false">
      <c r="A263" s="0" t="str">
        <f aca="false">IF(Consolidated!B266="","",Consolidated!B266&amp;"|"&amp;TEXT(Consolidated!C266,"yyyymmdd")&amp;"|"&amp;HOUR(Consolidated!D266))</f>
        <v>Card|20260711|6</v>
      </c>
      <c r="B263" s="0" t="str">
        <f aca="false">IF(Consolidated!B266="","",SUBSTITUTE(SUBSTITUTE(TEXT(Consolidated!D266,"h:mm AM/PM")," AM","a")," PM","p")&amp;IF(Consolidated!E266="",""," "&amp;Consolidated!E266)&amp;IF(Consolidated!H266="",""," "&amp;Consolidated!H266))</f>
        <v>6:30a</v>
      </c>
      <c r="C263" s="0" t="str">
        <f aca="false">IF(Consolidated!B266="","",Consolidated!B266&amp;"|"&amp;TEXT(Consolidated!C266,"yyyymmdd"))</f>
        <v>Card|20260711</v>
      </c>
      <c r="D263" s="0" t="str">
        <f aca="false">IF(Consolidated!I266="","",Consolidated!I266)</f>
        <v/>
      </c>
    </row>
    <row r="264" customFormat="false" ht="15" hidden="false" customHeight="false" outlineLevel="0" collapsed="false">
      <c r="A264" s="0" t="str">
        <f aca="false">IF(Consolidated!B267="","",Consolidated!B267&amp;"|"&amp;TEXT(Consolidated!C267,"yyyymmdd")&amp;"|"&amp;HOUR(Consolidated!D267))</f>
        <v>FE|20260711|10</v>
      </c>
      <c r="B264" s="0" t="str">
        <f aca="false">IF(Consolidated!B267="","",SUBSTITUTE(SUBSTITUTE(TEXT(Consolidated!D267,"h:mm AM/PM")," AM","a")," PM","p")&amp;IF(Consolidated!E267="",""," "&amp;Consolidated!E267)&amp;IF(Consolidated!H267="",""," "&amp;Consolidated!H267))</f>
        <v>10:00a Blitz</v>
      </c>
      <c r="C264" s="0" t="str">
        <f aca="false">IF(Consolidated!B267="","",Consolidated!B267&amp;"|"&amp;TEXT(Consolidated!C267,"yyyymmdd"))</f>
        <v>FE|20260711</v>
      </c>
      <c r="D264" s="0" t="str">
        <f aca="false">IF(Consolidated!I267="","",Consolidated!I267)</f>
        <v/>
      </c>
    </row>
    <row r="265" customFormat="false" ht="15" hidden="false" customHeight="false" outlineLevel="0" collapsed="false">
      <c r="A265" s="0" t="str">
        <f aca="false">IF(Consolidated!B268="","",Consolidated!B268&amp;"|"&amp;TEXT(Consolidated!C268,"yyyymmdd")&amp;"|"&amp;HOUR(Consolidated!D268))</f>
        <v>Optional Products|20260711|0</v>
      </c>
      <c r="B265" s="0" t="str">
        <f aca="false">IF(Consolidated!B268="","",SUBSTITUTE(SUBSTITUTE(TEXT(Consolidated!D268,"h:mm AM/PM")," AM","a")," PM","p")&amp;IF(Consolidated!E268="",""," "&amp;Consolidated!E268)&amp;IF(Consolidated!H268="",""," "&amp;Consolidated!H268))</f>
        <v>12:00a Third</v>
      </c>
      <c r="C265" s="0" t="str">
        <f aca="false">IF(Consolidated!B268="","",Consolidated!B268&amp;"|"&amp;TEXT(Consolidated!C268,"yyyymmdd"))</f>
        <v>Optional Products|20260711</v>
      </c>
      <c r="D265" s="0" t="str">
        <f aca="false">IF(Consolidated!I268="","",Consolidated!I268)</f>
        <v>Priority Order: Third</v>
      </c>
    </row>
    <row r="266" customFormat="false" ht="15" hidden="false" customHeight="false" outlineLevel="0" collapsed="false">
      <c r="A266" s="0" t="str">
        <f aca="false">IF(Consolidated!B269="","",Consolidated!B269&amp;"|"&amp;TEXT(Consolidated!C269,"yyyymmdd")&amp;"|"&amp;HOUR(Consolidated!D269))</f>
        <v>PCO|20260711|10</v>
      </c>
      <c r="B266" s="0" t="str">
        <f aca="false">IF(Consolidated!B269="","",SUBSTITUTE(SUBSTITUTE(TEXT(Consolidated!D269,"h:mm AM/PM")," AM","a")," PM","p")&amp;IF(Consolidated!E269="",""," "&amp;Consolidated!E269)&amp;IF(Consolidated!H269="",""," "&amp;Consolidated!H269))</f>
        <v>10:00a Blitz</v>
      </c>
      <c r="C266" s="0" t="str">
        <f aca="false">IF(Consolidated!B269="","",Consolidated!B269&amp;"|"&amp;TEXT(Consolidated!C269,"yyyymmdd"))</f>
        <v>PCO|20260711</v>
      </c>
      <c r="D266" s="0" t="str">
        <f aca="false">IF(Consolidated!I269="","",Consolidated!I269)</f>
        <v/>
      </c>
    </row>
    <row r="267" customFormat="false" ht="15" hidden="false" customHeight="false" outlineLevel="0" collapsed="false">
      <c r="A267" s="0" t="str">
        <f aca="false">IF(Consolidated!B270="","",Consolidated!B270&amp;"|"&amp;TEXT(Consolidated!C270,"yyyymmdd")&amp;"|"&amp;HOUR(Consolidated!D270))</f>
        <v>Auto|20260712|16</v>
      </c>
      <c r="B267" s="0" t="str">
        <f aca="false">IF(Consolidated!B270="","",SUBSTITUTE(SUBSTITUTE(TEXT(Consolidated!D270,"h:mm AM/PM")," AM","a")," PM","p")&amp;IF(Consolidated!E270="",""," "&amp;Consolidated!E270)&amp;IF(Consolidated!H270="",""," "&amp;Consolidated!H270))</f>
        <v>4:00p Blitz</v>
      </c>
      <c r="C267" s="0" t="str">
        <f aca="false">IF(Consolidated!B270="","",Consolidated!B270&amp;"|"&amp;TEXT(Consolidated!C270,"yyyymmdd"))</f>
        <v>Auto|20260712</v>
      </c>
      <c r="D267" s="0" t="str">
        <f aca="false">IF(Consolidated!I270="","",Consolidated!I270)</f>
        <v/>
      </c>
    </row>
    <row r="268" customFormat="false" ht="15" hidden="false" customHeight="false" outlineLevel="0" collapsed="false">
      <c r="A268" s="0" t="str">
        <f aca="false">IF(Consolidated!B271="","",Consolidated!B271&amp;"|"&amp;TEXT(Consolidated!C271,"yyyymmdd")&amp;"|"&amp;HOUR(Consolidated!D271))</f>
        <v>Card|20260712|12</v>
      </c>
      <c r="B268" s="0" t="str">
        <f aca="false">IF(Consolidated!B271="","",SUBSTITUTE(SUBSTITUTE(TEXT(Consolidated!D271,"h:mm AM/PM")," AM","a")," PM","p")&amp;IF(Consolidated!E271="",""," "&amp;Consolidated!E271)&amp;IF(Consolidated!H271="",""," "&amp;Consolidated!H271))</f>
        <v>12:00p</v>
      </c>
      <c r="C268" s="0" t="str">
        <f aca="false">IF(Consolidated!B271="","",Consolidated!B271&amp;"|"&amp;TEXT(Consolidated!C271,"yyyymmdd"))</f>
        <v>Card|20260712</v>
      </c>
      <c r="D268" s="0" t="str">
        <f aca="false">IF(Consolidated!I271="","",Consolidated!I271)</f>
        <v/>
      </c>
    </row>
    <row r="269" customFormat="false" ht="15" hidden="false" customHeight="false" outlineLevel="0" collapsed="false">
      <c r="A269" s="0" t="str">
        <f aca="false">IF(Consolidated!B272="","",Consolidated!B272&amp;"|"&amp;TEXT(Consolidated!C272,"yyyymmdd")&amp;"|"&amp;HOUR(Consolidated!D272))</f>
        <v>Card|20260712|6</v>
      </c>
      <c r="B269" s="0" t="str">
        <f aca="false">IF(Consolidated!B272="","",SUBSTITUTE(SUBSTITUTE(TEXT(Consolidated!D272,"h:mm AM/PM")," AM","a")," PM","p")&amp;IF(Consolidated!E272="",""," "&amp;Consolidated!E272)&amp;IF(Consolidated!H272="",""," "&amp;Consolidated!H272))</f>
        <v>6:00a</v>
      </c>
      <c r="C269" s="0" t="str">
        <f aca="false">IF(Consolidated!B272="","",Consolidated!B272&amp;"|"&amp;TEXT(Consolidated!C272,"yyyymmdd"))</f>
        <v>Card|20260712</v>
      </c>
      <c r="D269" s="0" t="str">
        <f aca="false">IF(Consolidated!I272="","",Consolidated!I272)</f>
        <v/>
      </c>
    </row>
    <row r="270" customFormat="false" ht="15" hidden="false" customHeight="false" outlineLevel="0" collapsed="false">
      <c r="A270" s="0" t="str">
        <f aca="false">IF(Consolidated!B273="","",Consolidated!B273&amp;"|"&amp;TEXT(Consolidated!C273,"yyyymmdd")&amp;"|"&amp;HOUR(Consolidated!D273))</f>
        <v>FE|20260712|16</v>
      </c>
      <c r="B270" s="0" t="str">
        <f aca="false">IF(Consolidated!B273="","",SUBSTITUTE(SUBSTITUTE(TEXT(Consolidated!D273,"h:mm AM/PM")," AM","a")," PM","p")&amp;IF(Consolidated!E273="",""," "&amp;Consolidated!E273)&amp;IF(Consolidated!H273="",""," "&amp;Consolidated!H273))</f>
        <v>4:00p Blitz</v>
      </c>
      <c r="C270" s="0" t="str">
        <f aca="false">IF(Consolidated!B273="","",Consolidated!B273&amp;"|"&amp;TEXT(Consolidated!C273,"yyyymmdd"))</f>
        <v>FE|20260712</v>
      </c>
      <c r="D270" s="0" t="str">
        <f aca="false">IF(Consolidated!I273="","",Consolidated!I273)</f>
        <v/>
      </c>
    </row>
    <row r="271" customFormat="false" ht="15" hidden="false" customHeight="false" outlineLevel="0" collapsed="false">
      <c r="A271" s="0" t="str">
        <f aca="false">IF(Consolidated!B274="","",Consolidated!B274&amp;"|"&amp;TEXT(Consolidated!C274,"yyyymmdd")&amp;"|"&amp;HOUR(Consolidated!D274))</f>
        <v>ARC|20260713|11</v>
      </c>
      <c r="B271" s="0" t="str">
        <f aca="false">IF(Consolidated!B274="","",SUBSTITUTE(SUBSTITUTE(TEXT(Consolidated!D274,"h:mm AM/PM")," AM","a")," PM","p")&amp;IF(Consolidated!E274="",""," "&amp;Consolidated!E274)&amp;IF(Consolidated!H274="",""," "&amp;Consolidated!H274))</f>
        <v>11:30a NCs</v>
      </c>
      <c r="C271" s="0" t="str">
        <f aca="false">IF(Consolidated!B274="","",Consolidated!B274&amp;"|"&amp;TEXT(Consolidated!C274,"yyyymmdd"))</f>
        <v>ARC|20260713</v>
      </c>
      <c r="D271" s="0" t="str">
        <f aca="false">IF(Consolidated!I274="","",Consolidated!I274)</f>
        <v>Hit List / APP</v>
      </c>
    </row>
    <row r="272" customFormat="false" ht="15" hidden="false" customHeight="false" outlineLevel="0" collapsed="false">
      <c r="A272" s="0" t="str">
        <f aca="false">IF(Consolidated!B275="","",Consolidated!B275&amp;"|"&amp;TEXT(Consolidated!C275,"yyyymmdd")&amp;"|"&amp;HOUR(Consolidated!D275))</f>
        <v>ARC|20260713|16</v>
      </c>
      <c r="B272" s="0" t="str">
        <f aca="false">IF(Consolidated!B275="","",SUBSTITUTE(SUBSTITUTE(TEXT(Consolidated!D275,"h:mm AM/PM")," AM","a")," PM","p")&amp;IF(Consolidated!E275="",""," "&amp;Consolidated!E275)&amp;IF(Consolidated!H275="",""," "&amp;Consolidated!H275))</f>
        <v>4:30p All</v>
      </c>
      <c r="C272" s="0" t="str">
        <f aca="false">IF(Consolidated!B275="","",Consolidated!B275&amp;"|"&amp;TEXT(Consolidated!C275,"yyyymmdd"))</f>
        <v>ARC|20260713</v>
      </c>
      <c r="D272" s="0" t="str">
        <f aca="false">IF(Consolidated!I275="","",Consolidated!I275)</f>
        <v>Hit List / APP</v>
      </c>
    </row>
    <row r="273" customFormat="false" ht="15" hidden="false" customHeight="false" outlineLevel="0" collapsed="false">
      <c r="A273" s="0" t="str">
        <f aca="false">IF(Consolidated!B276="","",Consolidated!B276&amp;"|"&amp;TEXT(Consolidated!C276,"yyyymmdd")&amp;"|"&amp;HOUR(Consolidated!D276))</f>
        <v>Auto|20260713|8</v>
      </c>
      <c r="B273" s="0" t="str">
        <f aca="false">IF(Consolidated!B276="","",SUBSTITUTE(SUBSTITUTE(TEXT(Consolidated!D276,"h:mm AM/PM")," AM","a")," PM","p")&amp;IF(Consolidated!E276="",""," "&amp;Consolidated!E276)&amp;IF(Consolidated!H276="",""," "&amp;Consolidated!H276))</f>
        <v>8:15a E AMs</v>
      </c>
      <c r="C273" s="0" t="str">
        <f aca="false">IF(Consolidated!B276="","",Consolidated!B276&amp;"|"&amp;TEXT(Consolidated!C276,"yyyymmdd"))</f>
        <v>Auto|20260713</v>
      </c>
      <c r="D273" s="0" t="str">
        <f aca="false">IF(Consolidated!I276="","",Consolidated!I276)</f>
        <v>Slowpay AM Daily</v>
      </c>
    </row>
    <row r="274" customFormat="false" ht="15" hidden="false" customHeight="false" outlineLevel="0" collapsed="false">
      <c r="A274" s="0" t="str">
        <f aca="false">IF(Consolidated!B277="","",Consolidated!B277&amp;"|"&amp;TEXT(Consolidated!C277,"yyyymmdd")&amp;"|"&amp;HOUR(Consolidated!D277))</f>
        <v>Auto|20260713|12</v>
      </c>
      <c r="B274" s="0" t="str">
        <f aca="false">IF(Consolidated!B277="","",SUBSTITUTE(SUBSTITUTE(TEXT(Consolidated!D277,"h:mm AM/PM")," AM","a")," PM","p")&amp;IF(Consolidated!E277="",""," "&amp;Consolidated!E277)&amp;IF(Consolidated!H277="",""," "&amp;Consolidated!H277))</f>
        <v>12:00p C-M-P AMs</v>
      </c>
      <c r="C274" s="0" t="str">
        <f aca="false">IF(Consolidated!B277="","",Consolidated!B277&amp;"|"&amp;TEXT(Consolidated!C277,"yyyymmdd"))</f>
        <v>Auto|20260713</v>
      </c>
      <c r="D274" s="0" t="str">
        <f aca="false">IF(Consolidated!I277="","",Consolidated!I277)</f>
        <v/>
      </c>
    </row>
    <row r="275" customFormat="false" ht="15" hidden="false" customHeight="false" outlineLevel="0" collapsed="false">
      <c r="A275" s="0" t="str">
        <f aca="false">IF(Consolidated!B278="","",Consolidated!B278&amp;"|"&amp;TEXT(Consolidated!C278,"yyyymmdd")&amp;"|"&amp;HOUR(Consolidated!D278))</f>
        <v>Auto|20260713|13</v>
      </c>
      <c r="B275" s="0" t="str">
        <f aca="false">IF(Consolidated!B278="","",SUBSTITUTE(SUBSTITUTE(TEXT(Consolidated!D278,"h:mm AM/PM")," AM","a")," PM","p")&amp;IF(Consolidated!E278="",""," "&amp;Consolidated!E278)&amp;IF(Consolidated!H278="",""," "&amp;Consolidated!H278))</f>
        <v>1:30p WFO</v>
      </c>
      <c r="C275" s="0" t="str">
        <f aca="false">IF(Consolidated!B278="","",Consolidated!B278&amp;"|"&amp;TEXT(Consolidated!C278,"yyyymmdd"))</f>
        <v>Auto|20260713</v>
      </c>
      <c r="D275" s="0" t="str">
        <f aca="false">IF(Consolidated!I278="","",Consolidated!I278)</f>
        <v/>
      </c>
    </row>
    <row r="276" customFormat="false" ht="15" hidden="false" customHeight="false" outlineLevel="0" collapsed="false">
      <c r="A276" s="0" t="str">
        <f aca="false">IF(Consolidated!B279="","",Consolidated!B279&amp;"|"&amp;TEXT(Consolidated!C279,"yyyymmdd")&amp;"|"&amp;HOUR(Consolidated!D279))</f>
        <v>Auto|20260713|17</v>
      </c>
      <c r="B276" s="0" t="str">
        <f aca="false">IF(Consolidated!B279="","",SUBSTITUTE(SUBSTITUTE(TEXT(Consolidated!D279,"h:mm AM/PM")," AM","a")," PM","p")&amp;IF(Consolidated!E279="",""," "&amp;Consolidated!E279)&amp;IF(Consolidated!H279="",""," "&amp;Consolidated!H279))</f>
        <v>5:00p Blitz</v>
      </c>
      <c r="C276" s="0" t="str">
        <f aca="false">IF(Consolidated!B279="","",Consolidated!B279&amp;"|"&amp;TEXT(Consolidated!C279,"yyyymmdd"))</f>
        <v>Auto|20260713</v>
      </c>
      <c r="D276" s="0" t="str">
        <f aca="false">IF(Consolidated!I279="","",Consolidated!I279)</f>
        <v/>
      </c>
    </row>
    <row r="277" customFormat="false" ht="15" hidden="false" customHeight="false" outlineLevel="0" collapsed="false">
      <c r="A277" s="0" t="str">
        <f aca="false">IF(Consolidated!B280="","",Consolidated!B280&amp;"|"&amp;TEXT(Consolidated!C280,"yyyymmdd")&amp;"|"&amp;HOUR(Consolidated!D280))</f>
        <v>Auto|20260713|20</v>
      </c>
      <c r="B277" s="0" t="str">
        <f aca="false">IF(Consolidated!B280="","",SUBSTITUTE(SUBSTITUTE(TEXT(Consolidated!D280,"h:mm AM/PM")," AM","a")," PM","p")&amp;IF(Consolidated!E280="",""," "&amp;Consolidated!E280)&amp;IF(Consolidated!H280="",""," "&amp;Consolidated!H280))</f>
        <v>8:00p TSC (All)</v>
      </c>
      <c r="C277" s="0" t="str">
        <f aca="false">IF(Consolidated!B280="","",Consolidated!B280&amp;"|"&amp;TEXT(Consolidated!C280,"yyyymmdd"))</f>
        <v>Auto|20260713</v>
      </c>
      <c r="D277" s="0" t="str">
        <f aca="false">IF(Consolidated!I280="","",Consolidated!I280)</f>
        <v/>
      </c>
    </row>
    <row r="278" customFormat="false" ht="15" hidden="false" customHeight="false" outlineLevel="0" collapsed="false">
      <c r="A278" s="0" t="str">
        <f aca="false">IF(Consolidated!B281="","",Consolidated!B281&amp;"|"&amp;TEXT(Consolidated!C281,"yyyymmdd")&amp;"|"&amp;HOUR(Consolidated!D281))</f>
        <v>BE|20260713|10</v>
      </c>
      <c r="B278" s="0" t="str">
        <f aca="false">IF(Consolidated!B281="","",SUBSTITUTE(SUBSTITUTE(TEXT(Consolidated!D281,"h:mm AM/PM")," AM","a")," PM","p")&amp;IF(Consolidated!E281="",""," "&amp;Consolidated!E281)&amp;IF(Consolidated!H281="",""," "&amp;Consolidated!H281))</f>
        <v>10:00a E-C-M AMs</v>
      </c>
      <c r="C278" s="0" t="str">
        <f aca="false">IF(Consolidated!B281="","",Consolidated!B281&amp;"|"&amp;TEXT(Consolidated!C281,"yyyymmdd"))</f>
        <v>BE|20260713</v>
      </c>
      <c r="D278" s="0" t="str">
        <f aca="false">IF(Consolidated!I281="","",Consolidated!I281)</f>
        <v/>
      </c>
    </row>
    <row r="279" customFormat="false" ht="15" hidden="false" customHeight="false" outlineLevel="0" collapsed="false">
      <c r="A279" s="0" t="str">
        <f aca="false">IF(Consolidated!B282="","",Consolidated!B282&amp;"|"&amp;TEXT(Consolidated!C282,"yyyymmdd")&amp;"|"&amp;HOUR(Consolidated!D282))</f>
        <v>BE|20260713|11</v>
      </c>
      <c r="B279" s="0" t="str">
        <f aca="false">IF(Consolidated!B282="","",SUBSTITUTE(SUBSTITUTE(TEXT(Consolidated!D282,"h:mm AM/PM")," AM","a")," PM","p")&amp;IF(Consolidated!E282="",""," "&amp;Consolidated!E282)&amp;IF(Consolidated!H282="",""," "&amp;Consolidated!H282))</f>
        <v>11:30a P AMs</v>
      </c>
      <c r="C279" s="0" t="str">
        <f aca="false">IF(Consolidated!B282="","",Consolidated!B282&amp;"|"&amp;TEXT(Consolidated!C282,"yyyymmdd"))</f>
        <v>BE|20260713</v>
      </c>
      <c r="D279" s="0" t="str">
        <f aca="false">IF(Consolidated!I282="","",Consolidated!I282)</f>
        <v/>
      </c>
    </row>
    <row r="280" customFormat="false" ht="15" hidden="false" customHeight="false" outlineLevel="0" collapsed="false">
      <c r="A280" s="0" t="str">
        <f aca="false">IF(Consolidated!B283="","",Consolidated!B283&amp;"|"&amp;TEXT(Consolidated!C283,"yyyymmdd")&amp;"|"&amp;HOUR(Consolidated!D283))</f>
        <v>BE|20260713|13</v>
      </c>
      <c r="B280" s="0" t="str">
        <f aca="false">IF(Consolidated!B283="","",SUBSTITUTE(SUBSTITUTE(TEXT(Consolidated!D283,"h:mm AM/PM")," AM","a")," PM","p")&amp;IF(Consolidated!E283="",""," "&amp;Consolidated!E283)&amp;IF(Consolidated!H283="",""," "&amp;Consolidated!H283))</f>
        <v>1:00p WFO</v>
      </c>
      <c r="C280" s="0" t="str">
        <f aca="false">IF(Consolidated!B283="","",Consolidated!B283&amp;"|"&amp;TEXT(Consolidated!C283,"yyyymmdd"))</f>
        <v>BE|20260713</v>
      </c>
      <c r="D280" s="0" t="str">
        <f aca="false">IF(Consolidated!I283="","",Consolidated!I283)</f>
        <v/>
      </c>
    </row>
    <row r="281" customFormat="false" ht="15" hidden="false" customHeight="false" outlineLevel="0" collapsed="false">
      <c r="A281" s="0" t="str">
        <f aca="false">IF(Consolidated!B284="","",Consolidated!B284&amp;"|"&amp;TEXT(Consolidated!C284,"yyyymmdd")&amp;"|"&amp;HOUR(Consolidated!D284))</f>
        <v>BE|20260713|17</v>
      </c>
      <c r="B281" s="0" t="str">
        <f aca="false">IF(Consolidated!B284="","",SUBSTITUTE(SUBSTITUTE(TEXT(Consolidated!D284,"h:mm AM/PM")," AM","a")," PM","p")&amp;IF(Consolidated!E284="",""," "&amp;Consolidated!E284)&amp;IF(Consolidated!H284="",""," "&amp;Consolidated!H284))</f>
        <v>5:00p Blitz</v>
      </c>
      <c r="C281" s="0" t="str">
        <f aca="false">IF(Consolidated!B284="","",Consolidated!B284&amp;"|"&amp;TEXT(Consolidated!C284,"yyyymmdd"))</f>
        <v>BE|20260713</v>
      </c>
      <c r="D281" s="0" t="str">
        <f aca="false">IF(Consolidated!I284="","",Consolidated!I284)</f>
        <v/>
      </c>
    </row>
    <row r="282" customFormat="false" ht="15" hidden="false" customHeight="false" outlineLevel="0" collapsed="false">
      <c r="A282" s="0" t="str">
        <f aca="false">IF(Consolidated!B285="","",Consolidated!B285&amp;"|"&amp;TEXT(Consolidated!C285,"yyyymmdd")&amp;"|"&amp;HOUR(Consolidated!D285))</f>
        <v>BE|20260713|20</v>
      </c>
      <c r="B282" s="0" t="str">
        <f aca="false">IF(Consolidated!B285="","",SUBSTITUTE(SUBSTITUTE(TEXT(Consolidated!D285,"h:mm AM/PM")," AM","a")," PM","p")&amp;IF(Consolidated!E285="",""," "&amp;Consolidated!E285)&amp;IF(Consolidated!H285="",""," "&amp;Consolidated!H285))</f>
        <v>8:00p TSC (All)</v>
      </c>
      <c r="C282" s="0" t="str">
        <f aca="false">IF(Consolidated!B285="","",Consolidated!B285&amp;"|"&amp;TEXT(Consolidated!C285,"yyyymmdd"))</f>
        <v>BE|20260713</v>
      </c>
      <c r="D282" s="0" t="str">
        <f aca="false">IF(Consolidated!I285="","",Consolidated!I285)</f>
        <v/>
      </c>
    </row>
    <row r="283" customFormat="false" ht="15" hidden="false" customHeight="false" outlineLevel="0" collapsed="false">
      <c r="A283" s="0" t="str">
        <f aca="false">IF(Consolidated!B286="","",Consolidated!B286&amp;"|"&amp;TEXT(Consolidated!C286,"yyyymmdd")&amp;"|"&amp;HOUR(Consolidated!D286))</f>
        <v>Branch Central|20260713|9</v>
      </c>
      <c r="B283" s="0" t="str">
        <f aca="false">IF(Consolidated!B286="","",SUBSTITUTE(SUBSTITUTE(TEXT(Consolidated!D286,"h:mm AM/PM")," AM","a")," PM","p")&amp;IF(Consolidated!E286="",""," "&amp;Consolidated!E286)&amp;IF(Consolidated!H286="",""," "&amp;Consolidated!H286))</f>
        <v>9:00a 2Pay E-C</v>
      </c>
      <c r="C283" s="0" t="str">
        <f aca="false">IF(Consolidated!B286="","",Consolidated!B286&amp;"|"&amp;TEXT(Consolidated!C286,"yyyymmdd"))</f>
        <v>Branch Central|20260713</v>
      </c>
      <c r="D283" s="0" t="str">
        <f aca="false">IF(Consolidated!I286="","",Consolidated!I286)</f>
        <v/>
      </c>
    </row>
    <row r="284" customFormat="false" ht="15" hidden="false" customHeight="false" outlineLevel="0" collapsed="false">
      <c r="A284" s="0" t="str">
        <f aca="false">IF(Consolidated!B287="","",Consolidated!B287&amp;"|"&amp;TEXT(Consolidated!C287,"yyyymmdd")&amp;"|"&amp;HOUR(Consolidated!D287))</f>
        <v>Branch Central|20260713|11</v>
      </c>
      <c r="B284" s="0" t="str">
        <f aca="false">IF(Consolidated!B287="","",SUBSTITUTE(SUBSTITUTE(TEXT(Consolidated!D287,"h:mm AM/PM")," AM","a")," PM","p")&amp;IF(Consolidated!E287="",""," "&amp;Consolidated!E287)&amp;IF(Consolidated!H287="",""," "&amp;Consolidated!H287))</f>
        <v>11:00a 2Pay M-P</v>
      </c>
      <c r="C284" s="0" t="str">
        <f aca="false">IF(Consolidated!B287="","",Consolidated!B287&amp;"|"&amp;TEXT(Consolidated!C287,"yyyymmdd"))</f>
        <v>Branch Central|20260713</v>
      </c>
      <c r="D284" s="0" t="str">
        <f aca="false">IF(Consolidated!I287="","",Consolidated!I287)</f>
        <v/>
      </c>
    </row>
    <row r="285" customFormat="false" ht="15" hidden="false" customHeight="false" outlineLevel="0" collapsed="false">
      <c r="A285" s="0" t="str">
        <f aca="false">IF(Consolidated!B288="","",Consolidated!B288&amp;"|"&amp;TEXT(Consolidated!C288,"yyyymmdd")&amp;"|"&amp;HOUR(Consolidated!D288))</f>
        <v>Branch Central|20260713|12</v>
      </c>
      <c r="B285" s="0" t="str">
        <f aca="false">IF(Consolidated!B288="","",SUBSTITUTE(SUBSTITUTE(TEXT(Consolidated!D288,"h:mm AM/PM")," AM","a")," PM","p")&amp;IF(Consolidated!E288="",""," "&amp;Consolidated!E288)&amp;IF(Consolidated!H288="",""," "&amp;Consolidated!H288))</f>
        <v>12:30p E-C 1s &amp; Slow</v>
      </c>
      <c r="C285" s="0" t="str">
        <f aca="false">IF(Consolidated!B288="","",Consolidated!B288&amp;"|"&amp;TEXT(Consolidated!C288,"yyyymmdd"))</f>
        <v>Branch Central|20260713</v>
      </c>
      <c r="D285" s="0" t="str">
        <f aca="false">IF(Consolidated!I288="","",Consolidated!I288)</f>
        <v/>
      </c>
    </row>
    <row r="286" customFormat="false" ht="15" hidden="false" customHeight="false" outlineLevel="0" collapsed="false">
      <c r="A286" s="0" t="str">
        <f aca="false">IF(Consolidated!B289="","",Consolidated!B289&amp;"|"&amp;TEXT(Consolidated!C289,"yyyymmdd")&amp;"|"&amp;HOUR(Consolidated!D289))</f>
        <v>Branch Vendor|20260713|18</v>
      </c>
      <c r="B286" s="0" t="str">
        <f aca="false">IF(Consolidated!B289="","",SUBSTITUTE(SUBSTITUTE(TEXT(Consolidated!D289,"h:mm AM/PM")," AM","a")," PM","p")&amp;IF(Consolidated!E289="",""," "&amp;Consolidated!E289)&amp;IF(Consolidated!H289="",""," "&amp;Consolidated!H289))</f>
        <v>6:00p Vendor</v>
      </c>
      <c r="C286" s="0" t="str">
        <f aca="false">IF(Consolidated!B289="","",Consolidated!B289&amp;"|"&amp;TEXT(Consolidated!C289,"yyyymmdd"))</f>
        <v>Branch Vendor|20260713</v>
      </c>
      <c r="D286" s="0" t="str">
        <f aca="false">IF(Consolidated!I289="","",Consolidated!I289)</f>
        <v/>
      </c>
    </row>
    <row r="287" customFormat="false" ht="15" hidden="false" customHeight="false" outlineLevel="0" collapsed="false">
      <c r="A287" s="0" t="str">
        <f aca="false">IF(Consolidated!B290="","",Consolidated!B290&amp;"|"&amp;TEXT(Consolidated!C290,"yyyymmdd")&amp;"|"&amp;HOUR(Consolidated!D290))</f>
        <v>Card|20260713|8</v>
      </c>
      <c r="B287" s="0" t="str">
        <f aca="false">IF(Consolidated!B290="","",SUBSTITUTE(SUBSTITUTE(TEXT(Consolidated!D290,"h:mm AM/PM")," AM","a")," PM","p")&amp;IF(Consolidated!E290="",""," "&amp;Consolidated!E290)&amp;IF(Consolidated!H290="",""," "&amp;Consolidated!H290))</f>
        <v>8:00a</v>
      </c>
      <c r="C287" s="0" t="str">
        <f aca="false">IF(Consolidated!B290="","",Consolidated!B290&amp;"|"&amp;TEXT(Consolidated!C290,"yyyymmdd"))</f>
        <v>Card|20260713</v>
      </c>
      <c r="D287" s="0" t="str">
        <f aca="false">IF(Consolidated!I290="","",Consolidated!I290)</f>
        <v/>
      </c>
    </row>
    <row r="288" customFormat="false" ht="15" hidden="false" customHeight="false" outlineLevel="0" collapsed="false">
      <c r="A288" s="0" t="str">
        <f aca="false">IF(Consolidated!B291="","",Consolidated!B291&amp;"|"&amp;TEXT(Consolidated!C291,"yyyymmdd")&amp;"|"&amp;HOUR(Consolidated!D291))</f>
        <v>Card|20260713|12</v>
      </c>
      <c r="B288" s="0" t="str">
        <f aca="false">IF(Consolidated!B291="","",SUBSTITUTE(SUBSTITUTE(TEXT(Consolidated!D291,"h:mm AM/PM")," AM","a")," PM","p")&amp;IF(Consolidated!E291="",""," "&amp;Consolidated!E291)&amp;IF(Consolidated!H291="",""," "&amp;Consolidated!H291))</f>
        <v>12:00p</v>
      </c>
      <c r="C288" s="0" t="str">
        <f aca="false">IF(Consolidated!B291="","",Consolidated!B291&amp;"|"&amp;TEXT(Consolidated!C291,"yyyymmdd"))</f>
        <v>Card|20260713</v>
      </c>
      <c r="D288" s="0" t="str">
        <f aca="false">IF(Consolidated!I291="","",Consolidated!I291)</f>
        <v/>
      </c>
    </row>
    <row r="289" customFormat="false" ht="15" hidden="false" customHeight="false" outlineLevel="0" collapsed="false">
      <c r="A289" s="0" t="str">
        <f aca="false">IF(Consolidated!B292="","",Consolidated!B292&amp;"|"&amp;TEXT(Consolidated!C292,"yyyymmdd")&amp;"|"&amp;HOUR(Consolidated!D292))</f>
        <v>Card|20260713|14</v>
      </c>
      <c r="B289" s="0" t="str">
        <f aca="false">IF(Consolidated!B292="","",SUBSTITUTE(SUBSTITUTE(TEXT(Consolidated!D292,"h:mm AM/PM")," AM","a")," PM","p")&amp;IF(Consolidated!E292="",""," "&amp;Consolidated!E292)&amp;IF(Consolidated!H292="",""," "&amp;Consolidated!H292))</f>
        <v>2:00p ASAP</v>
      </c>
      <c r="C289" s="0" t="str">
        <f aca="false">IF(Consolidated!B292="","",Consolidated!B292&amp;"|"&amp;TEXT(Consolidated!C292,"yyyymmdd"))</f>
        <v>Card|20260713</v>
      </c>
      <c r="D289" s="0" t="str">
        <f aca="false">IF(Consolidated!I292="","",Consolidated!I292)</f>
        <v/>
      </c>
    </row>
    <row r="290" customFormat="false" ht="15" hidden="false" customHeight="false" outlineLevel="0" collapsed="false">
      <c r="A290" s="0" t="str">
        <f aca="false">IF(Consolidated!B293="","",Consolidated!B293&amp;"|"&amp;TEXT(Consolidated!C293,"yyyymmdd")&amp;"|"&amp;HOUR(Consolidated!D293))</f>
        <v>Card|20260713|16</v>
      </c>
      <c r="B290" s="0" t="str">
        <f aca="false">IF(Consolidated!B293="","",SUBSTITUTE(SUBSTITUTE(TEXT(Consolidated!D293,"h:mm AM/PM")," AM","a")," PM","p")&amp;IF(Consolidated!E293="",""," "&amp;Consolidated!E293)&amp;IF(Consolidated!H293="",""," "&amp;Consolidated!H293))</f>
        <v>4:00p ASAP</v>
      </c>
      <c r="C290" s="0" t="str">
        <f aca="false">IF(Consolidated!B293="","",Consolidated!B293&amp;"|"&amp;TEXT(Consolidated!C293,"yyyymmdd"))</f>
        <v>Card|20260713</v>
      </c>
      <c r="D290" s="0" t="str">
        <f aca="false">IF(Consolidated!I293="","",Consolidated!I293)</f>
        <v/>
      </c>
    </row>
    <row r="291" customFormat="false" ht="15" hidden="false" customHeight="false" outlineLevel="0" collapsed="false">
      <c r="A291" s="0" t="str">
        <f aca="false">IF(Consolidated!B294="","",Consolidated!B294&amp;"|"&amp;TEXT(Consolidated!C294,"yyyymmdd")&amp;"|"&amp;HOUR(Consolidated!D294))</f>
        <v>Card|20260713|18</v>
      </c>
      <c r="B291" s="0" t="str">
        <f aca="false">IF(Consolidated!B294="","",SUBSTITUTE(SUBSTITUTE(TEXT(Consolidated!D294,"h:mm AM/PM")," AM","a")," PM","p")&amp;IF(Consolidated!E294="",""," "&amp;Consolidated!E294)&amp;IF(Consolidated!H294="",""," "&amp;Consolidated!H294))</f>
        <v>6:00p ASAP</v>
      </c>
      <c r="C291" s="0" t="str">
        <f aca="false">IF(Consolidated!B294="","",Consolidated!B294&amp;"|"&amp;TEXT(Consolidated!C294,"yyyymmdd"))</f>
        <v>Card|20260713</v>
      </c>
      <c r="D291" s="0" t="str">
        <f aca="false">IF(Consolidated!I294="","",Consolidated!I294)</f>
        <v/>
      </c>
    </row>
    <row r="292" customFormat="false" ht="15" hidden="false" customHeight="false" outlineLevel="0" collapsed="false">
      <c r="A292" s="0" t="str">
        <f aca="false">IF(Consolidated!B295="","",Consolidated!B295&amp;"|"&amp;TEXT(Consolidated!C295,"yyyymmdd")&amp;"|"&amp;HOUR(Consolidated!D295))</f>
        <v>Card|20260713|12</v>
      </c>
      <c r="B292" s="0" t="str">
        <f aca="false">IF(Consolidated!B295="","",SUBSTITUTE(SUBSTITUTE(TEXT(Consolidated!D295,"h:mm AM/PM")," AM","a")," PM","p")&amp;IF(Consolidated!E295="",""," "&amp;Consolidated!E295)&amp;IF(Consolidated!H295="",""," "&amp;Consolidated!H295))</f>
        <v>12:30p</v>
      </c>
      <c r="C292" s="0" t="str">
        <f aca="false">IF(Consolidated!B295="","",Consolidated!B295&amp;"|"&amp;TEXT(Consolidated!C295,"yyyymmdd"))</f>
        <v>Card|20260713</v>
      </c>
      <c r="D292" s="0" t="str">
        <f aca="false">IF(Consolidated!I295="","",Consolidated!I295)</f>
        <v/>
      </c>
    </row>
    <row r="293" customFormat="false" ht="15" hidden="false" customHeight="false" outlineLevel="0" collapsed="false">
      <c r="A293" s="0" t="str">
        <f aca="false">IF(Consolidated!B296="","",Consolidated!B296&amp;"|"&amp;TEXT(Consolidated!C296,"yyyymmdd")&amp;"|"&amp;HOUR(Consolidated!D296))</f>
        <v>Card|20260713|6</v>
      </c>
      <c r="B293" s="0" t="str">
        <f aca="false">IF(Consolidated!B296="","",SUBSTITUTE(SUBSTITUTE(TEXT(Consolidated!D296,"h:mm AM/PM")," AM","a")," PM","p")&amp;IF(Consolidated!E296="",""," "&amp;Consolidated!E296)&amp;IF(Consolidated!H296="",""," "&amp;Consolidated!H296))</f>
        <v>6:30a</v>
      </c>
      <c r="C293" s="0" t="str">
        <f aca="false">IF(Consolidated!B296="","",Consolidated!B296&amp;"|"&amp;TEXT(Consolidated!C296,"yyyymmdd"))</f>
        <v>Card|20260713</v>
      </c>
      <c r="D293" s="0" t="str">
        <f aca="false">IF(Consolidated!I296="","",Consolidated!I296)</f>
        <v/>
      </c>
    </row>
    <row r="294" customFormat="false" ht="15" hidden="false" customHeight="false" outlineLevel="0" collapsed="false">
      <c r="A294" s="0" t="str">
        <f aca="false">IF(Consolidated!B297="","",Consolidated!B297&amp;"|"&amp;TEXT(Consolidated!C297,"yyyymmdd")&amp;"|"&amp;HOUR(Consolidated!D297))</f>
        <v>FE|20260713|8</v>
      </c>
      <c r="B294" s="0" t="str">
        <f aca="false">IF(Consolidated!B297="","",SUBSTITUTE(SUBSTITUTE(TEXT(Consolidated!D297,"h:mm AM/PM")," AM","a")," PM","p")&amp;IF(Consolidated!E297="",""," "&amp;Consolidated!E297)&amp;IF(Consolidated!H297="",""," "&amp;Consolidated!H297))</f>
        <v>8:15a E AMs</v>
      </c>
      <c r="C294" s="0" t="str">
        <f aca="false">IF(Consolidated!B297="","",Consolidated!B297&amp;"|"&amp;TEXT(Consolidated!C297,"yyyymmdd"))</f>
        <v>FE|20260713</v>
      </c>
      <c r="D294" s="0" t="str">
        <f aca="false">IF(Consolidated!I297="","",Consolidated!I297)</f>
        <v/>
      </c>
    </row>
    <row r="295" customFormat="false" ht="15" hidden="false" customHeight="false" outlineLevel="0" collapsed="false">
      <c r="A295" s="0" t="str">
        <f aca="false">IF(Consolidated!B298="","",Consolidated!B298&amp;"|"&amp;TEXT(Consolidated!C298,"yyyymmdd")&amp;"|"&amp;HOUR(Consolidated!D298))</f>
        <v>FE|20260713|9</v>
      </c>
      <c r="B295" s="0" t="str">
        <f aca="false">IF(Consolidated!B298="","",SUBSTITUTE(SUBSTITUTE(TEXT(Consolidated!D298,"h:mm AM/PM")," AM","a")," PM","p")&amp;IF(Consolidated!E298="",""," "&amp;Consolidated!E298)&amp;IF(Consolidated!H298="",""," "&amp;Consolidated!H298))</f>
        <v>9:15a C AMs</v>
      </c>
      <c r="C295" s="0" t="str">
        <f aca="false">IF(Consolidated!B298="","",Consolidated!B298&amp;"|"&amp;TEXT(Consolidated!C298,"yyyymmdd"))</f>
        <v>FE|20260713</v>
      </c>
      <c r="D295" s="0" t="str">
        <f aca="false">IF(Consolidated!I298="","",Consolidated!I298)</f>
        <v/>
      </c>
    </row>
    <row r="296" customFormat="false" ht="15" hidden="false" customHeight="false" outlineLevel="0" collapsed="false">
      <c r="A296" s="0" t="str">
        <f aca="false">IF(Consolidated!B299="","",Consolidated!B299&amp;"|"&amp;TEXT(Consolidated!C299,"yyyymmdd")&amp;"|"&amp;HOUR(Consolidated!D299))</f>
        <v>FE|20260713|11</v>
      </c>
      <c r="B296" s="0" t="str">
        <f aca="false">IF(Consolidated!B299="","",SUBSTITUTE(SUBSTITUTE(TEXT(Consolidated!D299,"h:mm AM/PM")," AM","a")," PM","p")&amp;IF(Consolidated!E299="",""," "&amp;Consolidated!E299)&amp;IF(Consolidated!H299="",""," "&amp;Consolidated!H299))</f>
        <v>11:30a M-P AMs</v>
      </c>
      <c r="C296" s="0" t="str">
        <f aca="false">IF(Consolidated!B299="","",Consolidated!B299&amp;"|"&amp;TEXT(Consolidated!C299,"yyyymmdd"))</f>
        <v>FE|20260713</v>
      </c>
      <c r="D296" s="0" t="str">
        <f aca="false">IF(Consolidated!I299="","",Consolidated!I299)</f>
        <v/>
      </c>
    </row>
    <row r="297" customFormat="false" ht="15" hidden="false" customHeight="false" outlineLevel="0" collapsed="false">
      <c r="A297" s="0" t="str">
        <f aca="false">IF(Consolidated!B300="","",Consolidated!B300&amp;"|"&amp;TEXT(Consolidated!C300,"yyyymmdd")&amp;"|"&amp;HOUR(Consolidated!D300))</f>
        <v>FE|20260713|12</v>
      </c>
      <c r="B297" s="0" t="str">
        <f aca="false">IF(Consolidated!B300="","",SUBSTITUTE(SUBSTITUTE(TEXT(Consolidated!D300,"h:mm AM/PM")," AM","a")," PM","p")&amp;IF(Consolidated!E300="",""," "&amp;Consolidated!E300)&amp;IF(Consolidated!H300="",""," "&amp;Consolidated!H300))</f>
        <v>12:30p Branch</v>
      </c>
      <c r="C297" s="0" t="str">
        <f aca="false">IF(Consolidated!B300="","",Consolidated!B300&amp;"|"&amp;TEXT(Consolidated!C300,"yyyymmdd"))</f>
        <v>FE|20260713</v>
      </c>
      <c r="D297" s="0" t="str">
        <f aca="false">IF(Consolidated!I300="","",Consolidated!I300)</f>
        <v/>
      </c>
    </row>
    <row r="298" customFormat="false" ht="15" hidden="false" customHeight="false" outlineLevel="0" collapsed="false">
      <c r="A298" s="0" t="str">
        <f aca="false">IF(Consolidated!B301="","",Consolidated!B301&amp;"|"&amp;TEXT(Consolidated!C301,"yyyymmdd")&amp;"|"&amp;HOUR(Consolidated!D301))</f>
        <v>FE|20260713|14</v>
      </c>
      <c r="B298" s="0" t="str">
        <f aca="false">IF(Consolidated!B301="","",SUBSTITUTE(SUBSTITUTE(TEXT(Consolidated!D301,"h:mm AM/PM")," AM","a")," PM","p")&amp;IF(Consolidated!E301="",""," "&amp;Consolidated!E301)&amp;IF(Consolidated!H301="",""," "&amp;Consolidated!H301))</f>
        <v>2:30p WFO</v>
      </c>
      <c r="C298" s="0" t="str">
        <f aca="false">IF(Consolidated!B301="","",Consolidated!B301&amp;"|"&amp;TEXT(Consolidated!C301,"yyyymmdd"))</f>
        <v>FE|20260713</v>
      </c>
      <c r="D298" s="0" t="str">
        <f aca="false">IF(Consolidated!I301="","",Consolidated!I301)</f>
        <v/>
      </c>
    </row>
    <row r="299" customFormat="false" ht="15" hidden="false" customHeight="false" outlineLevel="0" collapsed="false">
      <c r="A299" s="0" t="str">
        <f aca="false">IF(Consolidated!B302="","",Consolidated!B302&amp;"|"&amp;TEXT(Consolidated!C302,"yyyymmdd")&amp;"|"&amp;HOUR(Consolidated!D302))</f>
        <v>FE|20260713|17</v>
      </c>
      <c r="B299" s="0" t="str">
        <f aca="false">IF(Consolidated!B302="","",SUBSTITUTE(SUBSTITUTE(TEXT(Consolidated!D302,"h:mm AM/PM")," AM","a")," PM","p")&amp;IF(Consolidated!E302="",""," "&amp;Consolidated!E302)&amp;IF(Consolidated!H302="",""," "&amp;Consolidated!H302))</f>
        <v>5:00p Blitz</v>
      </c>
      <c r="C299" s="0" t="str">
        <f aca="false">IF(Consolidated!B302="","",Consolidated!B302&amp;"|"&amp;TEXT(Consolidated!C302,"yyyymmdd"))</f>
        <v>FE|20260713</v>
      </c>
      <c r="D299" s="0" t="str">
        <f aca="false">IF(Consolidated!I302="","",Consolidated!I302)</f>
        <v/>
      </c>
    </row>
    <row r="300" customFormat="false" ht="15" hidden="false" customHeight="false" outlineLevel="0" collapsed="false">
      <c r="A300" s="0" t="str">
        <f aca="false">IF(Consolidated!B303="","",Consolidated!B303&amp;"|"&amp;TEXT(Consolidated!C303,"yyyymmdd")&amp;"|"&amp;HOUR(Consolidated!D303))</f>
        <v>FE|20260713|20</v>
      </c>
      <c r="B300" s="0" t="str">
        <f aca="false">IF(Consolidated!B303="","",SUBSTITUTE(SUBSTITUTE(TEXT(Consolidated!D303,"h:mm AM/PM")," AM","a")," PM","p")&amp;IF(Consolidated!E303="",""," "&amp;Consolidated!E303)&amp;IF(Consolidated!H303="",""," "&amp;Consolidated!H303))</f>
        <v>8:00p TSC (All)</v>
      </c>
      <c r="C300" s="0" t="str">
        <f aca="false">IF(Consolidated!B303="","",Consolidated!B303&amp;"|"&amp;TEXT(Consolidated!C303,"yyyymmdd"))</f>
        <v>FE|20260713</v>
      </c>
      <c r="D300" s="0" t="str">
        <f aca="false">IF(Consolidated!I303="","",Consolidated!I303)</f>
        <v/>
      </c>
    </row>
    <row r="301" customFormat="false" ht="15" hidden="false" customHeight="false" outlineLevel="0" collapsed="false">
      <c r="A301" s="0" t="str">
        <f aca="false">IF(Consolidated!B304="","",Consolidated!B304&amp;"|"&amp;TEXT(Consolidated!C304,"yyyymmdd")&amp;"|"&amp;HOUR(Consolidated!D304))</f>
        <v>Optional Products|20260713|0</v>
      </c>
      <c r="B301" s="0" t="str">
        <f aca="false">IF(Consolidated!B304="","",SUBSTITUTE(SUBSTITUTE(TEXT(Consolidated!D304,"h:mm AM/PM")," AM","a")," PM","p")&amp;IF(Consolidated!E304="",""," "&amp;Consolidated!E304)&amp;IF(Consolidated!H304="",""," "&amp;Consolidated!H304))</f>
        <v>12:00a Third/First</v>
      </c>
      <c r="C301" s="0" t="str">
        <f aca="false">IF(Consolidated!B304="","",Consolidated!B304&amp;"|"&amp;TEXT(Consolidated!C304,"yyyymmdd"))</f>
        <v>Optional Products|20260713</v>
      </c>
      <c r="D301" s="0" t="str">
        <f aca="false">IF(Consolidated!I304="","",Consolidated!I304)</f>
        <v>Priority Order: Third/First</v>
      </c>
    </row>
    <row r="302" customFormat="false" ht="15" hidden="false" customHeight="false" outlineLevel="0" collapsed="false">
      <c r="A302" s="0" t="str">
        <f aca="false">IF(Consolidated!B305="","",Consolidated!B305&amp;"|"&amp;TEXT(Consolidated!C305,"yyyymmdd")&amp;"|"&amp;HOUR(Consolidated!D305))</f>
        <v>PCO|20260713|9</v>
      </c>
      <c r="B302" s="0" t="str">
        <f aca="false">IF(Consolidated!B305="","",SUBSTITUTE(SUBSTITUTE(TEXT(Consolidated!D305,"h:mm AM/PM")," AM","a")," PM","p")&amp;IF(Consolidated!E305="",""," "&amp;Consolidated!E305)&amp;IF(Consolidated!H305="",""," "&amp;Consolidated!H305))</f>
        <v>9:00a E-C AMs</v>
      </c>
      <c r="C302" s="0" t="str">
        <f aca="false">IF(Consolidated!B305="","",Consolidated!B305&amp;"|"&amp;TEXT(Consolidated!C305,"yyyymmdd"))</f>
        <v>PCO|20260713</v>
      </c>
      <c r="D302" s="0" t="str">
        <f aca="false">IF(Consolidated!I305="","",Consolidated!I305)</f>
        <v/>
      </c>
    </row>
    <row r="303" customFormat="false" ht="15" hidden="false" customHeight="false" outlineLevel="0" collapsed="false">
      <c r="A303" s="0" t="str">
        <f aca="false">IF(Consolidated!B306="","",Consolidated!B306&amp;"|"&amp;TEXT(Consolidated!C306,"yyyymmdd")&amp;"|"&amp;HOUR(Consolidated!D306))</f>
        <v>PCO|20260713|11</v>
      </c>
      <c r="B303" s="0" t="str">
        <f aca="false">IF(Consolidated!B306="","",SUBSTITUTE(SUBSTITUTE(TEXT(Consolidated!D306,"h:mm AM/PM")," AM","a")," PM","p")&amp;IF(Consolidated!E306="",""," "&amp;Consolidated!E306)&amp;IF(Consolidated!H306="",""," "&amp;Consolidated!H306))</f>
        <v>11:15a M-P AMs</v>
      </c>
      <c r="C303" s="0" t="str">
        <f aca="false">IF(Consolidated!B306="","",Consolidated!B306&amp;"|"&amp;TEXT(Consolidated!C306,"yyyymmdd"))</f>
        <v>PCO|20260713</v>
      </c>
      <c r="D303" s="0" t="str">
        <f aca="false">IF(Consolidated!I306="","",Consolidated!I306)</f>
        <v/>
      </c>
    </row>
    <row r="304" customFormat="false" ht="15" hidden="false" customHeight="false" outlineLevel="0" collapsed="false">
      <c r="A304" s="0" t="str">
        <f aca="false">IF(Consolidated!B307="","",Consolidated!B307&amp;"|"&amp;TEXT(Consolidated!C307,"yyyymmdd")&amp;"|"&amp;HOUR(Consolidated!D307))</f>
        <v>PCO|20260713|13</v>
      </c>
      <c r="B304" s="0" t="str">
        <f aca="false">IF(Consolidated!B307="","",SUBSTITUTE(SUBSTITUTE(TEXT(Consolidated!D307,"h:mm AM/PM")," AM","a")," PM","p")&amp;IF(Consolidated!E307="",""," "&amp;Consolidated!E307)&amp;IF(Consolidated!H307="",""," "&amp;Consolidated!H307))</f>
        <v>1:00p WFO</v>
      </c>
      <c r="C304" s="0" t="str">
        <f aca="false">IF(Consolidated!B307="","",Consolidated!B307&amp;"|"&amp;TEXT(Consolidated!C307,"yyyymmdd"))</f>
        <v>PCO|20260713</v>
      </c>
      <c r="D304" s="0" t="str">
        <f aca="false">IF(Consolidated!I307="","",Consolidated!I307)</f>
        <v/>
      </c>
    </row>
    <row r="305" customFormat="false" ht="15" hidden="false" customHeight="false" outlineLevel="0" collapsed="false">
      <c r="A305" s="0" t="str">
        <f aca="false">IF(Consolidated!B308="","",Consolidated!B308&amp;"|"&amp;TEXT(Consolidated!C308,"yyyymmdd")&amp;"|"&amp;HOUR(Consolidated!D308))</f>
        <v>PCO|20260713|17</v>
      </c>
      <c r="B305" s="0" t="str">
        <f aca="false">IF(Consolidated!B308="","",SUBSTITUTE(SUBSTITUTE(TEXT(Consolidated!D308,"h:mm AM/PM")," AM","a")," PM","p")&amp;IF(Consolidated!E308="",""," "&amp;Consolidated!E308)&amp;IF(Consolidated!H308="",""," "&amp;Consolidated!H308))</f>
        <v>5:00p Blitz</v>
      </c>
      <c r="C305" s="0" t="str">
        <f aca="false">IF(Consolidated!B308="","",Consolidated!B308&amp;"|"&amp;TEXT(Consolidated!C308,"yyyymmdd"))</f>
        <v>PCO|20260713</v>
      </c>
      <c r="D305" s="0" t="str">
        <f aca="false">IF(Consolidated!I308="","",Consolidated!I308)</f>
        <v/>
      </c>
    </row>
    <row r="306" customFormat="false" ht="15" hidden="false" customHeight="false" outlineLevel="0" collapsed="false">
      <c r="A306" s="0" t="str">
        <f aca="false">IF(Consolidated!B309="","",Consolidated!B309&amp;"|"&amp;TEXT(Consolidated!C309,"yyyymmdd")&amp;"|"&amp;HOUR(Consolidated!D309))</f>
        <v>PCO|20260713|20</v>
      </c>
      <c r="B306" s="0" t="str">
        <f aca="false">IF(Consolidated!B309="","",SUBSTITUTE(SUBSTITUTE(TEXT(Consolidated!D309,"h:mm AM/PM")," AM","a")," PM","p")&amp;IF(Consolidated!E309="",""," "&amp;Consolidated!E309)&amp;IF(Consolidated!H309="",""," "&amp;Consolidated!H309))</f>
        <v>8:00p TSC (All)</v>
      </c>
      <c r="C306" s="0" t="str">
        <f aca="false">IF(Consolidated!B309="","",Consolidated!B309&amp;"|"&amp;TEXT(Consolidated!C309,"yyyymmdd"))</f>
        <v>PCO|20260713</v>
      </c>
      <c r="D306" s="0" t="str">
        <f aca="false">IF(Consolidated!I309="","",Consolidated!I309)</f>
        <v/>
      </c>
    </row>
    <row r="307" customFormat="false" ht="15" hidden="false" customHeight="false" outlineLevel="0" collapsed="false">
      <c r="A307" s="0" t="str">
        <f aca="false">IF(Consolidated!B310="","",Consolidated!B310&amp;"|"&amp;TEXT(Consolidated!C310,"yyyymmdd")&amp;"|"&amp;HOUR(Consolidated!D310))</f>
        <v>Repo|20260713|8</v>
      </c>
      <c r="B307" s="0" t="str">
        <f aca="false">IF(Consolidated!B310="","",SUBSTITUTE(SUBSTITUTE(TEXT(Consolidated!D310,"h:mm AM/PM")," AM","a")," PM","p")&amp;IF(Consolidated!E310="",""," "&amp;Consolidated!E310)&amp;IF(Consolidated!H310="",""," "&amp;Consolidated!H310))</f>
        <v>8:15a Repo</v>
      </c>
      <c r="C307" s="0" t="str">
        <f aca="false">IF(Consolidated!B310="","",Consolidated!B310&amp;"|"&amp;TEXT(Consolidated!C310,"yyyymmdd"))</f>
        <v>Repo|20260713</v>
      </c>
      <c r="D307" s="0" t="str">
        <f aca="false">IF(Consolidated!I310="","",Consolidated!I310)</f>
        <v>AM Daily</v>
      </c>
    </row>
    <row r="308" customFormat="false" ht="15" hidden="false" customHeight="false" outlineLevel="0" collapsed="false">
      <c r="A308" s="0" t="str">
        <f aca="false">IF(Consolidated!B311="","",Consolidated!B311&amp;"|"&amp;TEXT(Consolidated!C311,"yyyymmdd")&amp;"|"&amp;HOUR(Consolidated!D311))</f>
        <v>Repo|20260713|10</v>
      </c>
      <c r="B308" s="0" t="str">
        <f aca="false">IF(Consolidated!B311="","",SUBSTITUTE(SUBSTITUTE(TEXT(Consolidated!D311,"h:mm AM/PM")," AM","a")," PM","p")&amp;IF(Consolidated!E311="",""," "&amp;Consolidated!E311)&amp;IF(Consolidated!H311="",""," "&amp;Consolidated!H311))</f>
        <v>10:00a RP</v>
      </c>
      <c r="C308" s="0" t="str">
        <f aca="false">IF(Consolidated!B311="","",Consolidated!B311&amp;"|"&amp;TEXT(Consolidated!C311,"yyyymmdd"))</f>
        <v>Repo|20260713</v>
      </c>
      <c r="D308" s="0" t="str">
        <f aca="false">IF(Consolidated!I311="","",Consolidated!I311)</f>
        <v/>
      </c>
    </row>
    <row r="309" customFormat="false" ht="15" hidden="false" customHeight="false" outlineLevel="0" collapsed="false">
      <c r="A309" s="0" t="str">
        <f aca="false">IF(Consolidated!B312="","",Consolidated!B312&amp;"|"&amp;TEXT(Consolidated!C312,"yyyymmdd")&amp;"|"&amp;HOUR(Consolidated!D312))</f>
        <v>Repo|20260713|14</v>
      </c>
      <c r="B309" s="0" t="str">
        <f aca="false">IF(Consolidated!B312="","",SUBSTITUTE(SUBSTITUTE(TEXT(Consolidated!D312,"h:mm AM/PM")," AM","a")," PM","p")&amp;IF(Consolidated!E312="",""," "&amp;Consolidated!E312)&amp;IF(Consolidated!H312="",""," "&amp;Consolidated!H312))</f>
        <v>2:00p Repo</v>
      </c>
      <c r="C309" s="0" t="str">
        <f aca="false">IF(Consolidated!B312="","",Consolidated!B312&amp;"|"&amp;TEXT(Consolidated!C312,"yyyymmdd"))</f>
        <v>Repo|20260713</v>
      </c>
      <c r="D309" s="0" t="str">
        <f aca="false">IF(Consolidated!I312="","",Consolidated!I312)</f>
        <v/>
      </c>
    </row>
    <row r="310" customFormat="false" ht="15" hidden="false" customHeight="false" outlineLevel="0" collapsed="false">
      <c r="A310" s="0" t="str">
        <f aca="false">IF(Consolidated!B313="","",Consolidated!B313&amp;"|"&amp;TEXT(Consolidated!C313,"yyyymmdd")&amp;"|"&amp;HOUR(Consolidated!D313))</f>
        <v>ARC|20260714|10</v>
      </c>
      <c r="B310" s="0" t="str">
        <f aca="false">IF(Consolidated!B313="","",SUBSTITUTE(SUBSTITUTE(TEXT(Consolidated!D313,"h:mm AM/PM")," AM","a")," PM","p")&amp;IF(Consolidated!E313="",""," "&amp;Consolidated!E313)&amp;IF(Consolidated!H313="",""," "&amp;Consolidated!H313))</f>
        <v>10:00a NCs</v>
      </c>
      <c r="C310" s="0" t="str">
        <f aca="false">IF(Consolidated!B313="","",Consolidated!B313&amp;"|"&amp;TEXT(Consolidated!C313,"yyyymmdd"))</f>
        <v>ARC|20260714</v>
      </c>
      <c r="D310" s="0" t="str">
        <f aca="false">IF(Consolidated!I313="","",Consolidated!I313)</f>
        <v>Preplacement / Strat 2</v>
      </c>
    </row>
    <row r="311" customFormat="false" ht="15" hidden="false" customHeight="false" outlineLevel="0" collapsed="false">
      <c r="A311" s="0" t="str">
        <f aca="false">IF(Consolidated!B314="","",Consolidated!B314&amp;"|"&amp;TEXT(Consolidated!C314,"yyyymmdd")&amp;"|"&amp;HOUR(Consolidated!D314))</f>
        <v>ARC|20260714|15</v>
      </c>
      <c r="B311" s="0" t="str">
        <f aca="false">IF(Consolidated!B314="","",SUBSTITUTE(SUBSTITUTE(TEXT(Consolidated!D314,"h:mm AM/PM")," AM","a")," PM","p")&amp;IF(Consolidated!E314="",""," "&amp;Consolidated!E314)&amp;IF(Consolidated!H314="",""," "&amp;Consolidated!H314))</f>
        <v>3:00p All</v>
      </c>
      <c r="C311" s="0" t="str">
        <f aca="false">IF(Consolidated!B314="","",Consolidated!B314&amp;"|"&amp;TEXT(Consolidated!C314,"yyyymmdd"))</f>
        <v>ARC|20260714</v>
      </c>
      <c r="D311" s="0" t="str">
        <f aca="false">IF(Consolidated!I314="","",Consolidated!I314)</f>
        <v>Preplacement / Strat 2</v>
      </c>
    </row>
    <row r="312" customFormat="false" ht="15" hidden="false" customHeight="false" outlineLevel="0" collapsed="false">
      <c r="A312" s="0" t="str">
        <f aca="false">IF(Consolidated!B315="","",Consolidated!B315&amp;"|"&amp;TEXT(Consolidated!C315,"yyyymmdd")&amp;"|"&amp;HOUR(Consolidated!D315))</f>
        <v>Auto|20260714|8</v>
      </c>
      <c r="B312" s="0" t="str">
        <f aca="false">IF(Consolidated!B315="","",SUBSTITUTE(SUBSTITUTE(TEXT(Consolidated!D315,"h:mm AM/PM")," AM","a")," PM","p")&amp;IF(Consolidated!E315="",""," "&amp;Consolidated!E315)&amp;IF(Consolidated!H315="",""," "&amp;Consolidated!H315))</f>
        <v>8:30a E</v>
      </c>
      <c r="C312" s="0" t="str">
        <f aca="false">IF(Consolidated!B315="","",Consolidated!B315&amp;"|"&amp;TEXT(Consolidated!C315,"yyyymmdd"))</f>
        <v>Auto|20260714</v>
      </c>
      <c r="D312" s="0" t="str">
        <f aca="false">IF(Consolidated!I315="","",Consolidated!I315)</f>
        <v>Slowpay AM Daily</v>
      </c>
    </row>
    <row r="313" customFormat="false" ht="15" hidden="false" customHeight="false" outlineLevel="0" collapsed="false">
      <c r="A313" s="0" t="str">
        <f aca="false">IF(Consolidated!B316="","",Consolidated!B316&amp;"|"&amp;TEXT(Consolidated!C316,"yyyymmdd")&amp;"|"&amp;HOUR(Consolidated!D316))</f>
        <v>Auto|20260714|11</v>
      </c>
      <c r="B313" s="0" t="str">
        <f aca="false">IF(Consolidated!B316="","",SUBSTITUTE(SUBSTITUTE(TEXT(Consolidated!D316,"h:mm AM/PM")," AM","a")," PM","p")&amp;IF(Consolidated!E316="",""," "&amp;Consolidated!E316)&amp;IF(Consolidated!H316="",""," "&amp;Consolidated!H316))</f>
        <v>11:00a C-M-P</v>
      </c>
      <c r="C313" s="0" t="str">
        <f aca="false">IF(Consolidated!B316="","",Consolidated!B316&amp;"|"&amp;TEXT(Consolidated!C316,"yyyymmdd"))</f>
        <v>Auto|20260714</v>
      </c>
      <c r="D313" s="0" t="str">
        <f aca="false">IF(Consolidated!I316="","",Consolidated!I316)</f>
        <v/>
      </c>
    </row>
    <row r="314" customFormat="false" ht="15" hidden="false" customHeight="false" outlineLevel="0" collapsed="false">
      <c r="A314" s="0" t="str">
        <f aca="false">IF(Consolidated!B317="","",Consolidated!B317&amp;"|"&amp;TEXT(Consolidated!C317,"yyyymmdd")&amp;"|"&amp;HOUR(Consolidated!D317))</f>
        <v>Auto|20260714|13</v>
      </c>
      <c r="B314" s="0" t="str">
        <f aca="false">IF(Consolidated!B317="","",SUBSTITUTE(SUBSTITUTE(TEXT(Consolidated!D317,"h:mm AM/PM")," AM","a")," PM","p")&amp;IF(Consolidated!E317="",""," "&amp;Consolidated!E317)&amp;IF(Consolidated!H317="",""," "&amp;Consolidated!H317))</f>
        <v>1:30p WFO</v>
      </c>
      <c r="C314" s="0" t="str">
        <f aca="false">IF(Consolidated!B317="","",Consolidated!B317&amp;"|"&amp;TEXT(Consolidated!C317,"yyyymmdd"))</f>
        <v>Auto|20260714</v>
      </c>
      <c r="D314" s="0" t="str">
        <f aca="false">IF(Consolidated!I317="","",Consolidated!I317)</f>
        <v/>
      </c>
    </row>
    <row r="315" customFormat="false" ht="15" hidden="false" customHeight="false" outlineLevel="0" collapsed="false">
      <c r="A315" s="0" t="str">
        <f aca="false">IF(Consolidated!B318="","",Consolidated!B318&amp;"|"&amp;TEXT(Consolidated!C318,"yyyymmdd")&amp;"|"&amp;HOUR(Consolidated!D318))</f>
        <v>Auto|20260714|14</v>
      </c>
      <c r="B315" s="0" t="str">
        <f aca="false">IF(Consolidated!B318="","",SUBSTITUTE(SUBSTITUTE(TEXT(Consolidated!D318,"h:mm AM/PM")," AM","a")," PM","p")&amp;IF(Consolidated!E318="",""," "&amp;Consolidated!E318)&amp;IF(Consolidated!H318="",""," "&amp;Consolidated!H318))</f>
        <v>2:30p All</v>
      </c>
      <c r="C315" s="0" t="str">
        <f aca="false">IF(Consolidated!B318="","",Consolidated!B318&amp;"|"&amp;TEXT(Consolidated!C318,"yyyymmdd"))</f>
        <v>Auto|20260714</v>
      </c>
      <c r="D315" s="0" t="str">
        <f aca="false">IF(Consolidated!I318="","",Consolidated!I318)</f>
        <v/>
      </c>
    </row>
    <row r="316" customFormat="false" ht="15" hidden="false" customHeight="false" outlineLevel="0" collapsed="false">
      <c r="A316" s="0" t="str">
        <f aca="false">IF(Consolidated!B319="","",Consolidated!B319&amp;"|"&amp;TEXT(Consolidated!C319,"yyyymmdd")&amp;"|"&amp;HOUR(Consolidated!D319))</f>
        <v>Auto|20260714|16</v>
      </c>
      <c r="B316" s="0" t="str">
        <f aca="false">IF(Consolidated!B319="","",SUBSTITUTE(SUBSTITUTE(TEXT(Consolidated!D319,"h:mm AM/PM")," AM","a")," PM","p")&amp;IF(Consolidated!E319="",""," "&amp;Consolidated!E319)&amp;IF(Consolidated!H319="",""," "&amp;Consolidated!H319))</f>
        <v>4:00p All</v>
      </c>
      <c r="C316" s="0" t="str">
        <f aca="false">IF(Consolidated!B319="","",Consolidated!B319&amp;"|"&amp;TEXT(Consolidated!C319,"yyyymmdd"))</f>
        <v>Auto|20260714</v>
      </c>
      <c r="D316" s="0" t="str">
        <f aca="false">IF(Consolidated!I319="","",Consolidated!I319)</f>
        <v/>
      </c>
    </row>
    <row r="317" customFormat="false" ht="15" hidden="false" customHeight="false" outlineLevel="0" collapsed="false">
      <c r="A317" s="0" t="str">
        <f aca="false">IF(Consolidated!B320="","",Consolidated!B320&amp;"|"&amp;TEXT(Consolidated!C320,"yyyymmdd")&amp;"|"&amp;HOUR(Consolidated!D320))</f>
        <v>Auto|20260714|20</v>
      </c>
      <c r="B317" s="0" t="str">
        <f aca="false">IF(Consolidated!B320="","",SUBSTITUTE(SUBSTITUTE(TEXT(Consolidated!D320,"h:mm AM/PM")," AM","a")," PM","p")&amp;IF(Consolidated!E320="",""," "&amp;Consolidated!E320)&amp;IF(Consolidated!H320="",""," "&amp;Consolidated!H320))</f>
        <v>8:00p TSC (All)</v>
      </c>
      <c r="C317" s="0" t="str">
        <f aca="false">IF(Consolidated!B320="","",Consolidated!B320&amp;"|"&amp;TEXT(Consolidated!C320,"yyyymmdd"))</f>
        <v>Auto|20260714</v>
      </c>
      <c r="D317" s="0" t="str">
        <f aca="false">IF(Consolidated!I320="","",Consolidated!I320)</f>
        <v/>
      </c>
    </row>
    <row r="318" customFormat="false" ht="15" hidden="false" customHeight="false" outlineLevel="0" collapsed="false">
      <c r="A318" s="0" t="str">
        <f aca="false">IF(Consolidated!B321="","",Consolidated!B321&amp;"|"&amp;TEXT(Consolidated!C321,"yyyymmdd")&amp;"|"&amp;HOUR(Consolidated!D321))</f>
        <v>BE|20260714|8</v>
      </c>
      <c r="B318" s="0" t="str">
        <f aca="false">IF(Consolidated!B321="","",SUBSTITUTE(SUBSTITUTE(TEXT(Consolidated!D321,"h:mm AM/PM")," AM","a")," PM","p")&amp;IF(Consolidated!E321="",""," "&amp;Consolidated!E321)&amp;IF(Consolidated!H321="",""," "&amp;Consolidated!H321))</f>
        <v>8:15a E</v>
      </c>
      <c r="C318" s="0" t="str">
        <f aca="false">IF(Consolidated!B321="","",Consolidated!B321&amp;"|"&amp;TEXT(Consolidated!C321,"yyyymmdd"))</f>
        <v>BE|20260714</v>
      </c>
      <c r="D318" s="0" t="str">
        <f aca="false">IF(Consolidated!I321="","",Consolidated!I321)</f>
        <v/>
      </c>
    </row>
    <row r="319" customFormat="false" ht="15" hidden="false" customHeight="false" outlineLevel="0" collapsed="false">
      <c r="A319" s="0" t="str">
        <f aca="false">IF(Consolidated!B322="","",Consolidated!B322&amp;"|"&amp;TEXT(Consolidated!C322,"yyyymmdd")&amp;"|"&amp;HOUR(Consolidated!D322))</f>
        <v>BE|20260714|9</v>
      </c>
      <c r="B319" s="0" t="str">
        <f aca="false">IF(Consolidated!B322="","",SUBSTITUTE(SUBSTITUTE(TEXT(Consolidated!D322,"h:mm AM/PM")," AM","a")," PM","p")&amp;IF(Consolidated!E322="",""," "&amp;Consolidated!E322)&amp;IF(Consolidated!H322="",""," "&amp;Consolidated!H322))</f>
        <v>9:15a C</v>
      </c>
      <c r="C319" s="0" t="str">
        <f aca="false">IF(Consolidated!B322="","",Consolidated!B322&amp;"|"&amp;TEXT(Consolidated!C322,"yyyymmdd"))</f>
        <v>BE|20260714</v>
      </c>
      <c r="D319" s="0" t="str">
        <f aca="false">IF(Consolidated!I322="","",Consolidated!I322)</f>
        <v/>
      </c>
    </row>
    <row r="320" customFormat="false" ht="15" hidden="false" customHeight="false" outlineLevel="0" collapsed="false">
      <c r="A320" s="0" t="str">
        <f aca="false">IF(Consolidated!B323="","",Consolidated!B323&amp;"|"&amp;TEXT(Consolidated!C323,"yyyymmdd")&amp;"|"&amp;HOUR(Consolidated!D323))</f>
        <v>BE|20260714|11</v>
      </c>
      <c r="B320" s="0" t="str">
        <f aca="false">IF(Consolidated!B323="","",SUBSTITUTE(SUBSTITUTE(TEXT(Consolidated!D323,"h:mm AM/PM")," AM","a")," PM","p")&amp;IF(Consolidated!E323="",""," "&amp;Consolidated!E323)&amp;IF(Consolidated!H323="",""," "&amp;Consolidated!H323))</f>
        <v>11:30a M-P</v>
      </c>
      <c r="C320" s="0" t="str">
        <f aca="false">IF(Consolidated!B323="","",Consolidated!B323&amp;"|"&amp;TEXT(Consolidated!C323,"yyyymmdd"))</f>
        <v>BE|20260714</v>
      </c>
      <c r="D320" s="0" t="str">
        <f aca="false">IF(Consolidated!I323="","",Consolidated!I323)</f>
        <v/>
      </c>
    </row>
    <row r="321" customFormat="false" ht="15" hidden="false" customHeight="false" outlineLevel="0" collapsed="false">
      <c r="A321" s="0" t="str">
        <f aca="false">IF(Consolidated!B324="","",Consolidated!B324&amp;"|"&amp;TEXT(Consolidated!C324,"yyyymmdd")&amp;"|"&amp;HOUR(Consolidated!D324))</f>
        <v>BE|20260714|14</v>
      </c>
      <c r="B321" s="0" t="str">
        <f aca="false">IF(Consolidated!B324="","",SUBSTITUTE(SUBSTITUTE(TEXT(Consolidated!D324,"h:mm AM/PM")," AM","a")," PM","p")&amp;IF(Consolidated!E324="",""," "&amp;Consolidated!E324)&amp;IF(Consolidated!H324="",""," "&amp;Consolidated!H324))</f>
        <v>2:00p WFO</v>
      </c>
      <c r="C321" s="0" t="str">
        <f aca="false">IF(Consolidated!B324="","",Consolidated!B324&amp;"|"&amp;TEXT(Consolidated!C324,"yyyymmdd"))</f>
        <v>BE|20260714</v>
      </c>
      <c r="D321" s="0" t="str">
        <f aca="false">IF(Consolidated!I324="","",Consolidated!I324)</f>
        <v/>
      </c>
    </row>
    <row r="322" customFormat="false" ht="15" hidden="false" customHeight="false" outlineLevel="0" collapsed="false">
      <c r="A322" s="0" t="str">
        <f aca="false">IF(Consolidated!B325="","",Consolidated!B325&amp;"|"&amp;TEXT(Consolidated!C325,"yyyymmdd")&amp;"|"&amp;HOUR(Consolidated!D325))</f>
        <v>BE|20260714|16</v>
      </c>
      <c r="B322" s="0" t="str">
        <f aca="false">IF(Consolidated!B325="","",SUBSTITUTE(SUBSTITUTE(TEXT(Consolidated!D325,"h:mm AM/PM")," AM","a")," PM","p")&amp;IF(Consolidated!E325="",""," "&amp;Consolidated!E325)&amp;IF(Consolidated!H325="",""," "&amp;Consolidated!H325))</f>
        <v>4:00p All</v>
      </c>
      <c r="C322" s="0" t="str">
        <f aca="false">IF(Consolidated!B325="","",Consolidated!B325&amp;"|"&amp;TEXT(Consolidated!C325,"yyyymmdd"))</f>
        <v>BE|20260714</v>
      </c>
      <c r="D322" s="0" t="str">
        <f aca="false">IF(Consolidated!I325="","",Consolidated!I325)</f>
        <v/>
      </c>
    </row>
    <row r="323" customFormat="false" ht="15" hidden="false" customHeight="false" outlineLevel="0" collapsed="false">
      <c r="A323" s="0" t="str">
        <f aca="false">IF(Consolidated!B326="","",Consolidated!B326&amp;"|"&amp;TEXT(Consolidated!C326,"yyyymmdd")&amp;"|"&amp;HOUR(Consolidated!D326))</f>
        <v>BE|20260714|18</v>
      </c>
      <c r="B323" s="0" t="str">
        <f aca="false">IF(Consolidated!B326="","",SUBSTITUTE(SUBSTITUTE(TEXT(Consolidated!D326,"h:mm AM/PM")," AM","a")," PM","p")&amp;IF(Consolidated!E326="",""," "&amp;Consolidated!E326)&amp;IF(Consolidated!H326="",""," "&amp;Consolidated!H326))</f>
        <v>6:00p All</v>
      </c>
      <c r="C323" s="0" t="str">
        <f aca="false">IF(Consolidated!B326="","",Consolidated!B326&amp;"|"&amp;TEXT(Consolidated!C326,"yyyymmdd"))</f>
        <v>BE|20260714</v>
      </c>
      <c r="D323" s="0" t="str">
        <f aca="false">IF(Consolidated!I326="","",Consolidated!I326)</f>
        <v/>
      </c>
    </row>
    <row r="324" customFormat="false" ht="15" hidden="false" customHeight="false" outlineLevel="0" collapsed="false">
      <c r="A324" s="0" t="str">
        <f aca="false">IF(Consolidated!B327="","",Consolidated!B327&amp;"|"&amp;TEXT(Consolidated!C327,"yyyymmdd")&amp;"|"&amp;HOUR(Consolidated!D327))</f>
        <v>BE|20260714|20</v>
      </c>
      <c r="B324" s="0" t="str">
        <f aca="false">IF(Consolidated!B327="","",SUBSTITUTE(SUBSTITUTE(TEXT(Consolidated!D327,"h:mm AM/PM")," AM","a")," PM","p")&amp;IF(Consolidated!E327="",""," "&amp;Consolidated!E327)&amp;IF(Consolidated!H327="",""," "&amp;Consolidated!H327))</f>
        <v>8:00p TSC (All)</v>
      </c>
      <c r="C324" s="0" t="str">
        <f aca="false">IF(Consolidated!B327="","",Consolidated!B327&amp;"|"&amp;TEXT(Consolidated!C327,"yyyymmdd"))</f>
        <v>BE|20260714</v>
      </c>
      <c r="D324" s="0" t="str">
        <f aca="false">IF(Consolidated!I327="","",Consolidated!I327)</f>
        <v/>
      </c>
    </row>
    <row r="325" customFormat="false" ht="15" hidden="false" customHeight="false" outlineLevel="0" collapsed="false">
      <c r="A325" s="0" t="str">
        <f aca="false">IF(Consolidated!B328="","",Consolidated!B328&amp;"|"&amp;TEXT(Consolidated!C328,"yyyymmdd")&amp;"|"&amp;HOUR(Consolidated!D328))</f>
        <v>Branch Central|20260714|12</v>
      </c>
      <c r="B325" s="0" t="str">
        <f aca="false">IF(Consolidated!B328="","",SUBSTITUTE(SUBSTITUTE(TEXT(Consolidated!D328,"h:mm AM/PM")," AM","a")," PM","p")&amp;IF(Consolidated!E328="",""," "&amp;Consolidated!E328)&amp;IF(Consolidated!H328="",""," "&amp;Consolidated!H328))</f>
        <v>12:30p E-C 1s &amp; Slow</v>
      </c>
      <c r="C325" s="0" t="str">
        <f aca="false">IF(Consolidated!B328="","",Consolidated!B328&amp;"|"&amp;TEXT(Consolidated!C328,"yyyymmdd"))</f>
        <v>Branch Central|20260714</v>
      </c>
      <c r="D325" s="0" t="str">
        <f aca="false">IF(Consolidated!I328="","",Consolidated!I328)</f>
        <v/>
      </c>
    </row>
    <row r="326" customFormat="false" ht="15" hidden="false" customHeight="false" outlineLevel="0" collapsed="false">
      <c r="A326" s="0" t="str">
        <f aca="false">IF(Consolidated!B329="","",Consolidated!B329&amp;"|"&amp;TEXT(Consolidated!C329,"yyyymmdd")&amp;"|"&amp;HOUR(Consolidated!D329))</f>
        <v>Branch Central|20260714|18</v>
      </c>
      <c r="B326" s="0" t="str">
        <f aca="false">IF(Consolidated!B329="","",SUBSTITUTE(SUBSTITUTE(TEXT(Consolidated!D329,"h:mm AM/PM")," AM","a")," PM","p")&amp;IF(Consolidated!E329="",""," "&amp;Consolidated!E329)&amp;IF(Consolidated!H329="",""," "&amp;Consolidated!H329))</f>
        <v>6:00p 2Pay (NCs</v>
      </c>
      <c r="C326" s="0" t="str">
        <f aca="false">IF(Consolidated!B329="","",Consolidated!B329&amp;"|"&amp;TEXT(Consolidated!C329,"yyyymmdd"))</f>
        <v>Branch Central|20260714</v>
      </c>
      <c r="D326" s="0" t="str">
        <f aca="false">IF(Consolidated!I329="","",Consolidated!I329)</f>
        <v/>
      </c>
    </row>
    <row r="327" customFormat="false" ht="15" hidden="false" customHeight="false" outlineLevel="0" collapsed="false">
      <c r="A327" s="0" t="str">
        <f aca="false">IF(Consolidated!B330="","",Consolidated!B330&amp;"|"&amp;TEXT(Consolidated!C330,"yyyymmdd")&amp;"|"&amp;HOUR(Consolidated!D330))</f>
        <v>Branch Vendor|20260714|18</v>
      </c>
      <c r="B327" s="0" t="str">
        <f aca="false">IF(Consolidated!B330="","",SUBSTITUTE(SUBSTITUTE(TEXT(Consolidated!D330,"h:mm AM/PM")," AM","a")," PM","p")&amp;IF(Consolidated!E330="",""," "&amp;Consolidated!E330)&amp;IF(Consolidated!H330="",""," "&amp;Consolidated!H330))</f>
        <v>6:00p Vendor</v>
      </c>
      <c r="C327" s="0" t="str">
        <f aca="false">IF(Consolidated!B330="","",Consolidated!B330&amp;"|"&amp;TEXT(Consolidated!C330,"yyyymmdd"))</f>
        <v>Branch Vendor|20260714</v>
      </c>
      <c r="D327" s="0" t="str">
        <f aca="false">IF(Consolidated!I330="","",Consolidated!I330)</f>
        <v/>
      </c>
    </row>
    <row r="328" customFormat="false" ht="15" hidden="false" customHeight="false" outlineLevel="0" collapsed="false">
      <c r="A328" s="0" t="str">
        <f aca="false">IF(Consolidated!B331="","",Consolidated!B331&amp;"|"&amp;TEXT(Consolidated!C331,"yyyymmdd")&amp;"|"&amp;HOUR(Consolidated!D331))</f>
        <v>Card|20260714|8</v>
      </c>
      <c r="B328" s="0" t="str">
        <f aca="false">IF(Consolidated!B331="","",SUBSTITUTE(SUBSTITUTE(TEXT(Consolidated!D331,"h:mm AM/PM")," AM","a")," PM","p")&amp;IF(Consolidated!E331="",""," "&amp;Consolidated!E331)&amp;IF(Consolidated!H331="",""," "&amp;Consolidated!H331))</f>
        <v>8:00a</v>
      </c>
      <c r="C328" s="0" t="str">
        <f aca="false">IF(Consolidated!B331="","",Consolidated!B331&amp;"|"&amp;TEXT(Consolidated!C331,"yyyymmdd"))</f>
        <v>Card|20260714</v>
      </c>
      <c r="D328" s="0" t="str">
        <f aca="false">IF(Consolidated!I331="","",Consolidated!I331)</f>
        <v/>
      </c>
    </row>
    <row r="329" customFormat="false" ht="15" hidden="false" customHeight="false" outlineLevel="0" collapsed="false">
      <c r="A329" s="0" t="str">
        <f aca="false">IF(Consolidated!B332="","",Consolidated!B332&amp;"|"&amp;TEXT(Consolidated!C332,"yyyymmdd")&amp;"|"&amp;HOUR(Consolidated!D332))</f>
        <v>Card|20260714|12</v>
      </c>
      <c r="B329" s="0" t="str">
        <f aca="false">IF(Consolidated!B332="","",SUBSTITUTE(SUBSTITUTE(TEXT(Consolidated!D332,"h:mm AM/PM")," AM","a")," PM","p")&amp;IF(Consolidated!E332="",""," "&amp;Consolidated!E332)&amp;IF(Consolidated!H332="",""," "&amp;Consolidated!H332))</f>
        <v>12:00p</v>
      </c>
      <c r="C329" s="0" t="str">
        <f aca="false">IF(Consolidated!B332="","",Consolidated!B332&amp;"|"&amp;TEXT(Consolidated!C332,"yyyymmdd"))</f>
        <v>Card|20260714</v>
      </c>
      <c r="D329" s="0" t="str">
        <f aca="false">IF(Consolidated!I332="","",Consolidated!I332)</f>
        <v/>
      </c>
    </row>
    <row r="330" customFormat="false" ht="15" hidden="false" customHeight="false" outlineLevel="0" collapsed="false">
      <c r="A330" s="0" t="str">
        <f aca="false">IF(Consolidated!B333="","",Consolidated!B333&amp;"|"&amp;TEXT(Consolidated!C333,"yyyymmdd")&amp;"|"&amp;HOUR(Consolidated!D333))</f>
        <v>Card|20260714|14</v>
      </c>
      <c r="B330" s="0" t="str">
        <f aca="false">IF(Consolidated!B333="","",SUBSTITUTE(SUBSTITUTE(TEXT(Consolidated!D333,"h:mm AM/PM")," AM","a")," PM","p")&amp;IF(Consolidated!E333="",""," "&amp;Consolidated!E333)&amp;IF(Consolidated!H333="",""," "&amp;Consolidated!H333))</f>
        <v>2:00p ASAP</v>
      </c>
      <c r="C330" s="0" t="str">
        <f aca="false">IF(Consolidated!B333="","",Consolidated!B333&amp;"|"&amp;TEXT(Consolidated!C333,"yyyymmdd"))</f>
        <v>Card|20260714</v>
      </c>
      <c r="D330" s="0" t="str">
        <f aca="false">IF(Consolidated!I333="","",Consolidated!I333)</f>
        <v/>
      </c>
    </row>
    <row r="331" customFormat="false" ht="15" hidden="false" customHeight="false" outlineLevel="0" collapsed="false">
      <c r="A331" s="0" t="str">
        <f aca="false">IF(Consolidated!B334="","",Consolidated!B334&amp;"|"&amp;TEXT(Consolidated!C334,"yyyymmdd")&amp;"|"&amp;HOUR(Consolidated!D334))</f>
        <v>Card|20260714|16</v>
      </c>
      <c r="B331" s="0" t="str">
        <f aca="false">IF(Consolidated!B334="","",SUBSTITUTE(SUBSTITUTE(TEXT(Consolidated!D334,"h:mm AM/PM")," AM","a")," PM","p")&amp;IF(Consolidated!E334="",""," "&amp;Consolidated!E334)&amp;IF(Consolidated!H334="",""," "&amp;Consolidated!H334))</f>
        <v>4:00p ASAP</v>
      </c>
      <c r="C331" s="0" t="str">
        <f aca="false">IF(Consolidated!B334="","",Consolidated!B334&amp;"|"&amp;TEXT(Consolidated!C334,"yyyymmdd"))</f>
        <v>Card|20260714</v>
      </c>
      <c r="D331" s="0" t="str">
        <f aca="false">IF(Consolidated!I334="","",Consolidated!I334)</f>
        <v/>
      </c>
    </row>
    <row r="332" customFormat="false" ht="15" hidden="false" customHeight="false" outlineLevel="0" collapsed="false">
      <c r="A332" s="0" t="str">
        <f aca="false">IF(Consolidated!B335="","",Consolidated!B335&amp;"|"&amp;TEXT(Consolidated!C335,"yyyymmdd")&amp;"|"&amp;HOUR(Consolidated!D335))</f>
        <v>Card|20260714|18</v>
      </c>
      <c r="B332" s="0" t="str">
        <f aca="false">IF(Consolidated!B335="","",SUBSTITUTE(SUBSTITUTE(TEXT(Consolidated!D335,"h:mm AM/PM")," AM","a")," PM","p")&amp;IF(Consolidated!E335="",""," "&amp;Consolidated!E335)&amp;IF(Consolidated!H335="",""," "&amp;Consolidated!H335))</f>
        <v>6:00p ASAP</v>
      </c>
      <c r="C332" s="0" t="str">
        <f aca="false">IF(Consolidated!B335="","",Consolidated!B335&amp;"|"&amp;TEXT(Consolidated!C335,"yyyymmdd"))</f>
        <v>Card|20260714</v>
      </c>
      <c r="D332" s="0" t="str">
        <f aca="false">IF(Consolidated!I335="","",Consolidated!I335)</f>
        <v/>
      </c>
    </row>
    <row r="333" customFormat="false" ht="15" hidden="false" customHeight="false" outlineLevel="0" collapsed="false">
      <c r="A333" s="0" t="str">
        <f aca="false">IF(Consolidated!B336="","",Consolidated!B336&amp;"|"&amp;TEXT(Consolidated!C336,"yyyymmdd")&amp;"|"&amp;HOUR(Consolidated!D336))</f>
        <v>Card|20260714|1</v>
      </c>
      <c r="B333" s="0" t="str">
        <f aca="false">IF(Consolidated!B336="","",SUBSTITUTE(SUBSTITUTE(TEXT(Consolidated!D336,"h:mm AM/PM")," AM","a")," PM","p")&amp;IF(Consolidated!E336="",""," "&amp;Consolidated!E336)&amp;IF(Consolidated!H336="",""," "&amp;Consolidated!H336))</f>
        <v>1:00a</v>
      </c>
      <c r="C333" s="0" t="str">
        <f aca="false">IF(Consolidated!B336="","",Consolidated!B336&amp;"|"&amp;TEXT(Consolidated!C336,"yyyymmdd"))</f>
        <v>Card|20260714</v>
      </c>
      <c r="D333" s="0" t="str">
        <f aca="false">IF(Consolidated!I336="","",Consolidated!I336)</f>
        <v/>
      </c>
    </row>
    <row r="334" customFormat="false" ht="15" hidden="false" customHeight="false" outlineLevel="0" collapsed="false">
      <c r="A334" s="0" t="str">
        <f aca="false">IF(Consolidated!B337="","",Consolidated!B337&amp;"|"&amp;TEXT(Consolidated!C337,"yyyymmdd")&amp;"|"&amp;HOUR(Consolidated!D337))</f>
        <v>Card|20260714|6</v>
      </c>
      <c r="B334" s="0" t="str">
        <f aca="false">IF(Consolidated!B337="","",SUBSTITUTE(SUBSTITUTE(TEXT(Consolidated!D337,"h:mm AM/PM")," AM","a")," PM","p")&amp;IF(Consolidated!E337="",""," "&amp;Consolidated!E337)&amp;IF(Consolidated!H337="",""," "&amp;Consolidated!H337))</f>
        <v>6:00a</v>
      </c>
      <c r="C334" s="0" t="str">
        <f aca="false">IF(Consolidated!B337="","",Consolidated!B337&amp;"|"&amp;TEXT(Consolidated!C337,"yyyymmdd"))</f>
        <v>Card|20260714</v>
      </c>
      <c r="D334" s="0" t="str">
        <f aca="false">IF(Consolidated!I337="","",Consolidated!I337)</f>
        <v/>
      </c>
    </row>
    <row r="335" customFormat="false" ht="15" hidden="false" customHeight="false" outlineLevel="0" collapsed="false">
      <c r="A335" s="0" t="str">
        <f aca="false">IF(Consolidated!B338="","",Consolidated!B338&amp;"|"&amp;TEXT(Consolidated!C338,"yyyymmdd")&amp;"|"&amp;HOUR(Consolidated!D338))</f>
        <v>FE|20260714|8</v>
      </c>
      <c r="B335" s="0" t="str">
        <f aca="false">IF(Consolidated!B338="","",SUBSTITUTE(SUBSTITUTE(TEXT(Consolidated!D338,"h:mm AM/PM")," AM","a")," PM","p")&amp;IF(Consolidated!E338="",""," "&amp;Consolidated!E338)&amp;IF(Consolidated!H338="",""," "&amp;Consolidated!H338))</f>
        <v>8:30a E</v>
      </c>
      <c r="C335" s="0" t="str">
        <f aca="false">IF(Consolidated!B338="","",Consolidated!B338&amp;"|"&amp;TEXT(Consolidated!C338,"yyyymmdd"))</f>
        <v>FE|20260714</v>
      </c>
      <c r="D335" s="0" t="str">
        <f aca="false">IF(Consolidated!I338="","",Consolidated!I338)</f>
        <v/>
      </c>
    </row>
    <row r="336" customFormat="false" ht="15" hidden="false" customHeight="false" outlineLevel="0" collapsed="false">
      <c r="A336" s="0" t="str">
        <f aca="false">IF(Consolidated!B339="","",Consolidated!B339&amp;"|"&amp;TEXT(Consolidated!C339,"yyyymmdd")&amp;"|"&amp;HOUR(Consolidated!D339))</f>
        <v>FE|20260714|11</v>
      </c>
      <c r="B336" s="0" t="str">
        <f aca="false">IF(Consolidated!B339="","",SUBSTITUTE(SUBSTITUTE(TEXT(Consolidated!D339,"h:mm AM/PM")," AM","a")," PM","p")&amp;IF(Consolidated!E339="",""," "&amp;Consolidated!E339)&amp;IF(Consolidated!H339="",""," "&amp;Consolidated!H339))</f>
        <v>11:00a C-M-P</v>
      </c>
      <c r="C336" s="0" t="str">
        <f aca="false">IF(Consolidated!B339="","",Consolidated!B339&amp;"|"&amp;TEXT(Consolidated!C339,"yyyymmdd"))</f>
        <v>FE|20260714</v>
      </c>
      <c r="D336" s="0" t="str">
        <f aca="false">IF(Consolidated!I339="","",Consolidated!I339)</f>
        <v/>
      </c>
    </row>
    <row r="337" customFormat="false" ht="15" hidden="false" customHeight="false" outlineLevel="0" collapsed="false">
      <c r="A337" s="0" t="str">
        <f aca="false">IF(Consolidated!B340="","",Consolidated!B340&amp;"|"&amp;TEXT(Consolidated!C340,"yyyymmdd")&amp;"|"&amp;HOUR(Consolidated!D340))</f>
        <v>FE|20260714|12</v>
      </c>
      <c r="B337" s="0" t="str">
        <f aca="false">IF(Consolidated!B340="","",SUBSTITUTE(SUBSTITUTE(TEXT(Consolidated!D340,"h:mm AM/PM")," AM","a")," PM","p")&amp;IF(Consolidated!E340="",""," "&amp;Consolidated!E340)&amp;IF(Consolidated!H340="",""," "&amp;Consolidated!H340))</f>
        <v>12:30p Branch</v>
      </c>
      <c r="C337" s="0" t="str">
        <f aca="false">IF(Consolidated!B340="","",Consolidated!B340&amp;"|"&amp;TEXT(Consolidated!C340,"yyyymmdd"))</f>
        <v>FE|20260714</v>
      </c>
      <c r="D337" s="0" t="str">
        <f aca="false">IF(Consolidated!I340="","",Consolidated!I340)</f>
        <v/>
      </c>
    </row>
    <row r="338" customFormat="false" ht="15" hidden="false" customHeight="false" outlineLevel="0" collapsed="false">
      <c r="A338" s="0" t="str">
        <f aca="false">IF(Consolidated!B341="","",Consolidated!B341&amp;"|"&amp;TEXT(Consolidated!C341,"yyyymmdd")&amp;"|"&amp;HOUR(Consolidated!D341))</f>
        <v>FE|20260714|13</v>
      </c>
      <c r="B338" s="0" t="str">
        <f aca="false">IF(Consolidated!B341="","",SUBSTITUTE(SUBSTITUTE(TEXT(Consolidated!D341,"h:mm AM/PM")," AM","a")," PM","p")&amp;IF(Consolidated!E341="",""," "&amp;Consolidated!E341)&amp;IF(Consolidated!H341="",""," "&amp;Consolidated!H341))</f>
        <v>1:30p WFO</v>
      </c>
      <c r="C338" s="0" t="str">
        <f aca="false">IF(Consolidated!B341="","",Consolidated!B341&amp;"|"&amp;TEXT(Consolidated!C341,"yyyymmdd"))</f>
        <v>FE|20260714</v>
      </c>
      <c r="D338" s="0" t="str">
        <f aca="false">IF(Consolidated!I341="","",Consolidated!I341)</f>
        <v/>
      </c>
    </row>
    <row r="339" customFormat="false" ht="15" hidden="false" customHeight="false" outlineLevel="0" collapsed="false">
      <c r="A339" s="0" t="str">
        <f aca="false">IF(Consolidated!B342="","",Consolidated!B342&amp;"|"&amp;TEXT(Consolidated!C342,"yyyymmdd")&amp;"|"&amp;HOUR(Consolidated!D342))</f>
        <v>FE|20260714|16</v>
      </c>
      <c r="B339" s="0" t="str">
        <f aca="false">IF(Consolidated!B342="","",SUBSTITUTE(SUBSTITUTE(TEXT(Consolidated!D342,"h:mm AM/PM")," AM","a")," PM","p")&amp;IF(Consolidated!E342="",""," "&amp;Consolidated!E342)&amp;IF(Consolidated!H342="",""," "&amp;Consolidated!H342))</f>
        <v>4:00p All</v>
      </c>
      <c r="C339" s="0" t="str">
        <f aca="false">IF(Consolidated!B342="","",Consolidated!B342&amp;"|"&amp;TEXT(Consolidated!C342,"yyyymmdd"))</f>
        <v>FE|20260714</v>
      </c>
      <c r="D339" s="0" t="str">
        <f aca="false">IF(Consolidated!I342="","",Consolidated!I342)</f>
        <v/>
      </c>
    </row>
    <row r="340" customFormat="false" ht="15" hidden="false" customHeight="false" outlineLevel="0" collapsed="false">
      <c r="A340" s="0" t="str">
        <f aca="false">IF(Consolidated!B343="","",Consolidated!B343&amp;"|"&amp;TEXT(Consolidated!C343,"yyyymmdd")&amp;"|"&amp;HOUR(Consolidated!D343))</f>
        <v>FE|20260714|17</v>
      </c>
      <c r="B340" s="0" t="str">
        <f aca="false">IF(Consolidated!B343="","",SUBSTITUTE(SUBSTITUTE(TEXT(Consolidated!D343,"h:mm AM/PM")," AM","a")," PM","p")&amp;IF(Consolidated!E343="",""," "&amp;Consolidated!E343)&amp;IF(Consolidated!H343="",""," "&amp;Consolidated!H343))</f>
        <v>5:30p All</v>
      </c>
      <c r="C340" s="0" t="str">
        <f aca="false">IF(Consolidated!B343="","",Consolidated!B343&amp;"|"&amp;TEXT(Consolidated!C343,"yyyymmdd"))</f>
        <v>FE|20260714</v>
      </c>
      <c r="D340" s="0" t="str">
        <f aca="false">IF(Consolidated!I343="","",Consolidated!I343)</f>
        <v/>
      </c>
    </row>
    <row r="341" customFormat="false" ht="15" hidden="false" customHeight="false" outlineLevel="0" collapsed="false">
      <c r="A341" s="0" t="str">
        <f aca="false">IF(Consolidated!B344="","",Consolidated!B344&amp;"|"&amp;TEXT(Consolidated!C344,"yyyymmdd")&amp;"|"&amp;HOUR(Consolidated!D344))</f>
        <v>FE|20260714|20</v>
      </c>
      <c r="B341" s="0" t="str">
        <f aca="false">IF(Consolidated!B344="","",SUBSTITUTE(SUBSTITUTE(TEXT(Consolidated!D344,"h:mm AM/PM")," AM","a")," PM","p")&amp;IF(Consolidated!E344="",""," "&amp;Consolidated!E344)&amp;IF(Consolidated!H344="",""," "&amp;Consolidated!H344))</f>
        <v>8:00p TSC (All)</v>
      </c>
      <c r="C341" s="0" t="str">
        <f aca="false">IF(Consolidated!B344="","",Consolidated!B344&amp;"|"&amp;TEXT(Consolidated!C344,"yyyymmdd"))</f>
        <v>FE|20260714</v>
      </c>
      <c r="D341" s="0" t="str">
        <f aca="false">IF(Consolidated!I344="","",Consolidated!I344)</f>
        <v/>
      </c>
    </row>
    <row r="342" customFormat="false" ht="15" hidden="false" customHeight="false" outlineLevel="0" collapsed="false">
      <c r="A342" s="0" t="str">
        <f aca="false">IF(Consolidated!B345="","",Consolidated!B345&amp;"|"&amp;TEXT(Consolidated!C345,"yyyymmdd")&amp;"|"&amp;HOUR(Consolidated!D345))</f>
        <v>Optional Products|20260714|0</v>
      </c>
      <c r="B342" s="0" t="str">
        <f aca="false">IF(Consolidated!B345="","",SUBSTITUTE(SUBSTITUTE(TEXT(Consolidated!D345,"h:mm AM/PM")," AM","a")," PM","p")&amp;IF(Consolidated!E345="",""," "&amp;Consolidated!E345)&amp;IF(Consolidated!H345="",""," "&amp;Consolidated!H345))</f>
        <v>12:00a First</v>
      </c>
      <c r="C342" s="0" t="str">
        <f aca="false">IF(Consolidated!B345="","",Consolidated!B345&amp;"|"&amp;TEXT(Consolidated!C345,"yyyymmdd"))</f>
        <v>Optional Products|20260714</v>
      </c>
      <c r="D342" s="0" t="str">
        <f aca="false">IF(Consolidated!I345="","",Consolidated!I345)</f>
        <v>Priority Order: First</v>
      </c>
    </row>
    <row r="343" customFormat="false" ht="15" hidden="false" customHeight="false" outlineLevel="0" collapsed="false">
      <c r="A343" s="0" t="str">
        <f aca="false">IF(Consolidated!B346="","",Consolidated!B346&amp;"|"&amp;TEXT(Consolidated!C346,"yyyymmdd")&amp;"|"&amp;HOUR(Consolidated!D346))</f>
        <v>PCO|20260714|8</v>
      </c>
      <c r="B343" s="0" t="str">
        <f aca="false">IF(Consolidated!B346="","",SUBSTITUTE(SUBSTITUTE(TEXT(Consolidated!D346,"h:mm AM/PM")," AM","a")," PM","p")&amp;IF(Consolidated!E346="",""," "&amp;Consolidated!E346)&amp;IF(Consolidated!H346="",""," "&amp;Consolidated!H346))</f>
        <v>8:30a E</v>
      </c>
      <c r="C343" s="0" t="str">
        <f aca="false">IF(Consolidated!B346="","",Consolidated!B346&amp;"|"&amp;TEXT(Consolidated!C346,"yyyymmdd"))</f>
        <v>PCO|20260714</v>
      </c>
      <c r="D343" s="0" t="str">
        <f aca="false">IF(Consolidated!I346="","",Consolidated!I346)</f>
        <v/>
      </c>
    </row>
    <row r="344" customFormat="false" ht="15" hidden="false" customHeight="false" outlineLevel="0" collapsed="false">
      <c r="A344" s="0" t="str">
        <f aca="false">IF(Consolidated!B347="","",Consolidated!B347&amp;"|"&amp;TEXT(Consolidated!C347,"yyyymmdd")&amp;"|"&amp;HOUR(Consolidated!D347))</f>
        <v>PCO|20260714|11</v>
      </c>
      <c r="B344" s="0" t="str">
        <f aca="false">IF(Consolidated!B347="","",SUBSTITUTE(SUBSTITUTE(TEXT(Consolidated!D347,"h:mm AM/PM")," AM","a")," PM","p")&amp;IF(Consolidated!E347="",""," "&amp;Consolidated!E347)&amp;IF(Consolidated!H347="",""," "&amp;Consolidated!H347))</f>
        <v>11:15a C-M-P</v>
      </c>
      <c r="C344" s="0" t="str">
        <f aca="false">IF(Consolidated!B347="","",Consolidated!B347&amp;"|"&amp;TEXT(Consolidated!C347,"yyyymmdd"))</f>
        <v>PCO|20260714</v>
      </c>
      <c r="D344" s="0" t="str">
        <f aca="false">IF(Consolidated!I347="","",Consolidated!I347)</f>
        <v/>
      </c>
    </row>
    <row r="345" customFormat="false" ht="15" hidden="false" customHeight="false" outlineLevel="0" collapsed="false">
      <c r="A345" s="0" t="str">
        <f aca="false">IF(Consolidated!B348="","",Consolidated!B348&amp;"|"&amp;TEXT(Consolidated!C348,"yyyymmdd")&amp;"|"&amp;HOUR(Consolidated!D348))</f>
        <v>PCO|20260714|14</v>
      </c>
      <c r="B345" s="0" t="str">
        <f aca="false">IF(Consolidated!B348="","",SUBSTITUTE(SUBSTITUTE(TEXT(Consolidated!D348,"h:mm AM/PM")," AM","a")," PM","p")&amp;IF(Consolidated!E348="",""," "&amp;Consolidated!E348)&amp;IF(Consolidated!H348="",""," "&amp;Consolidated!H348))</f>
        <v>2:00p WFO</v>
      </c>
      <c r="C345" s="0" t="str">
        <f aca="false">IF(Consolidated!B348="","",Consolidated!B348&amp;"|"&amp;TEXT(Consolidated!C348,"yyyymmdd"))</f>
        <v>PCO|20260714</v>
      </c>
      <c r="D345" s="0" t="str">
        <f aca="false">IF(Consolidated!I348="","",Consolidated!I348)</f>
        <v/>
      </c>
    </row>
    <row r="346" customFormat="false" ht="15" hidden="false" customHeight="false" outlineLevel="0" collapsed="false">
      <c r="A346" s="0" t="str">
        <f aca="false">IF(Consolidated!B349="","",Consolidated!B349&amp;"|"&amp;TEXT(Consolidated!C349,"yyyymmdd")&amp;"|"&amp;HOUR(Consolidated!D349))</f>
        <v>PCO|20260714|16</v>
      </c>
      <c r="B346" s="0" t="str">
        <f aca="false">IF(Consolidated!B349="","",SUBSTITUTE(SUBSTITUTE(TEXT(Consolidated!D349,"h:mm AM/PM")," AM","a")," PM","p")&amp;IF(Consolidated!E349="",""," "&amp;Consolidated!E349)&amp;IF(Consolidated!H349="",""," "&amp;Consolidated!H349))</f>
        <v>4:00p All</v>
      </c>
      <c r="C346" s="0" t="str">
        <f aca="false">IF(Consolidated!B349="","",Consolidated!B349&amp;"|"&amp;TEXT(Consolidated!C349,"yyyymmdd"))</f>
        <v>PCO|20260714</v>
      </c>
      <c r="D346" s="0" t="str">
        <f aca="false">IF(Consolidated!I349="","",Consolidated!I349)</f>
        <v/>
      </c>
    </row>
    <row r="347" customFormat="false" ht="15" hidden="false" customHeight="false" outlineLevel="0" collapsed="false">
      <c r="A347" s="0" t="str">
        <f aca="false">IF(Consolidated!B350="","",Consolidated!B350&amp;"|"&amp;TEXT(Consolidated!C350,"yyyymmdd")&amp;"|"&amp;HOUR(Consolidated!D350))</f>
        <v>PCO|20260714|20</v>
      </c>
      <c r="B347" s="0" t="str">
        <f aca="false">IF(Consolidated!B350="","",SUBSTITUTE(SUBSTITUTE(TEXT(Consolidated!D350,"h:mm AM/PM")," AM","a")," PM","p")&amp;IF(Consolidated!E350="",""," "&amp;Consolidated!E350)&amp;IF(Consolidated!H350="",""," "&amp;Consolidated!H350))</f>
        <v>8:00p TSC (All)</v>
      </c>
      <c r="C347" s="0" t="str">
        <f aca="false">IF(Consolidated!B350="","",Consolidated!B350&amp;"|"&amp;TEXT(Consolidated!C350,"yyyymmdd"))</f>
        <v>PCO|20260714</v>
      </c>
      <c r="D347" s="0" t="str">
        <f aca="false">IF(Consolidated!I350="","",Consolidated!I350)</f>
        <v/>
      </c>
    </row>
    <row r="348" customFormat="false" ht="15" hidden="false" customHeight="false" outlineLevel="0" collapsed="false">
      <c r="A348" s="0" t="str">
        <f aca="false">IF(Consolidated!B351="","",Consolidated!B351&amp;"|"&amp;TEXT(Consolidated!C351,"yyyymmdd")&amp;"|"&amp;HOUR(Consolidated!D351))</f>
        <v>Repo|20260714|9</v>
      </c>
      <c r="B348" s="0" t="str">
        <f aca="false">IF(Consolidated!B351="","",SUBSTITUTE(SUBSTITUTE(TEXT(Consolidated!D351,"h:mm AM/PM")," AM","a")," PM","p")&amp;IF(Consolidated!E351="",""," "&amp;Consolidated!E351)&amp;IF(Consolidated!H351="",""," "&amp;Consolidated!H351))</f>
        <v>9:00a Repo</v>
      </c>
      <c r="C348" s="0" t="str">
        <f aca="false">IF(Consolidated!B351="","",Consolidated!B351&amp;"|"&amp;TEXT(Consolidated!C351,"yyyymmdd"))</f>
        <v>Repo|20260714</v>
      </c>
      <c r="D348" s="0" t="str">
        <f aca="false">IF(Consolidated!I351="","",Consolidated!I351)</f>
        <v>AM Daily</v>
      </c>
    </row>
    <row r="349" customFormat="false" ht="15" hidden="false" customHeight="false" outlineLevel="0" collapsed="false">
      <c r="A349" s="0" t="str">
        <f aca="false">IF(Consolidated!B352="","",Consolidated!B352&amp;"|"&amp;TEXT(Consolidated!C352,"yyyymmdd")&amp;"|"&amp;HOUR(Consolidated!D352))</f>
        <v>Repo|20260714|10</v>
      </c>
      <c r="B349" s="0" t="str">
        <f aca="false">IF(Consolidated!B352="","",SUBSTITUTE(SUBSTITUTE(TEXT(Consolidated!D352,"h:mm AM/PM")," AM","a")," PM","p")&amp;IF(Consolidated!E352="",""," "&amp;Consolidated!E352)&amp;IF(Consolidated!H352="",""," "&amp;Consolidated!H352))</f>
        <v>10:00a Repo</v>
      </c>
      <c r="C349" s="0" t="str">
        <f aca="false">IF(Consolidated!B352="","",Consolidated!B352&amp;"|"&amp;TEXT(Consolidated!C352,"yyyymmdd"))</f>
        <v>Repo|20260714</v>
      </c>
      <c r="D349" s="0" t="str">
        <f aca="false">IF(Consolidated!I352="","",Consolidated!I352)</f>
        <v/>
      </c>
    </row>
    <row r="350" customFormat="false" ht="15" hidden="false" customHeight="false" outlineLevel="0" collapsed="false">
      <c r="A350" s="0" t="str">
        <f aca="false">IF(Consolidated!B353="","",Consolidated!B353&amp;"|"&amp;TEXT(Consolidated!C353,"yyyymmdd")&amp;"|"&amp;HOUR(Consolidated!D353))</f>
        <v>Repo|20260714|11</v>
      </c>
      <c r="B350" s="0" t="str">
        <f aca="false">IF(Consolidated!B353="","",SUBSTITUTE(SUBSTITUTE(TEXT(Consolidated!D353,"h:mm AM/PM")," AM","a")," PM","p")&amp;IF(Consolidated!E353="",""," "&amp;Consolidated!E353)&amp;IF(Consolidated!H353="",""," "&amp;Consolidated!H353))</f>
        <v>11:00a RP</v>
      </c>
      <c r="C350" s="0" t="str">
        <f aca="false">IF(Consolidated!B353="","",Consolidated!B353&amp;"|"&amp;TEXT(Consolidated!C353,"yyyymmdd"))</f>
        <v>Repo|20260714</v>
      </c>
      <c r="D350" s="0" t="str">
        <f aca="false">IF(Consolidated!I353="","",Consolidated!I353)</f>
        <v/>
      </c>
    </row>
    <row r="351" customFormat="false" ht="15" hidden="false" customHeight="false" outlineLevel="0" collapsed="false">
      <c r="A351" s="0" t="str">
        <f aca="false">IF(Consolidated!B354="","",Consolidated!B354&amp;"|"&amp;TEXT(Consolidated!C354,"yyyymmdd")&amp;"|"&amp;HOUR(Consolidated!D354))</f>
        <v>Repo|20260714|13</v>
      </c>
      <c r="B351" s="0" t="str">
        <f aca="false">IF(Consolidated!B354="","",SUBSTITUTE(SUBSTITUTE(TEXT(Consolidated!D354,"h:mm AM/PM")," AM","a")," PM","p")&amp;IF(Consolidated!E354="",""," "&amp;Consolidated!E354)&amp;IF(Consolidated!H354="",""," "&amp;Consolidated!H354))</f>
        <v>1:00p Repo</v>
      </c>
      <c r="C351" s="0" t="str">
        <f aca="false">IF(Consolidated!B354="","",Consolidated!B354&amp;"|"&amp;TEXT(Consolidated!C354,"yyyymmdd"))</f>
        <v>Repo|20260714</v>
      </c>
      <c r="D351" s="0" t="str">
        <f aca="false">IF(Consolidated!I354="","",Consolidated!I354)</f>
        <v/>
      </c>
    </row>
    <row r="352" customFormat="false" ht="15" hidden="false" customHeight="false" outlineLevel="0" collapsed="false">
      <c r="A352" s="0" t="str">
        <f aca="false">IF(Consolidated!B355="","",Consolidated!B355&amp;"|"&amp;TEXT(Consolidated!C355,"yyyymmdd")&amp;"|"&amp;HOUR(Consolidated!D355))</f>
        <v>ARC|20260715|11</v>
      </c>
      <c r="B352" s="0" t="str">
        <f aca="false">IF(Consolidated!B355="","",SUBSTITUTE(SUBSTITUTE(TEXT(Consolidated!D355,"h:mm AM/PM")," AM","a")," PM","p")&amp;IF(Consolidated!E355="",""," "&amp;Consolidated!E355)&amp;IF(Consolidated!H355="",""," "&amp;Consolidated!H355))</f>
        <v>11:30a NCs</v>
      </c>
      <c r="C352" s="0" t="str">
        <f aca="false">IF(Consolidated!B355="","",Consolidated!B355&amp;"|"&amp;TEXT(Consolidated!C355,"yyyymmdd"))</f>
        <v>ARC|20260715</v>
      </c>
      <c r="D352" s="0" t="str">
        <f aca="false">IF(Consolidated!I355="","",Consolidated!I355)</f>
        <v>Broken Promise / Recent Pay / Dialer Only</v>
      </c>
    </row>
    <row r="353" customFormat="false" ht="15" hidden="false" customHeight="false" outlineLevel="0" collapsed="false">
      <c r="A353" s="0" t="str">
        <f aca="false">IF(Consolidated!B356="","",Consolidated!B356&amp;"|"&amp;TEXT(Consolidated!C356,"yyyymmdd")&amp;"|"&amp;HOUR(Consolidated!D356))</f>
        <v>ARC|20260715|17</v>
      </c>
      <c r="B353" s="0" t="str">
        <f aca="false">IF(Consolidated!B356="","",SUBSTITUTE(SUBSTITUTE(TEXT(Consolidated!D356,"h:mm AM/PM")," AM","a")," PM","p")&amp;IF(Consolidated!E356="",""," "&amp;Consolidated!E356)&amp;IF(Consolidated!H356="",""," "&amp;Consolidated!H356))</f>
        <v>5:00p All</v>
      </c>
      <c r="C353" s="0" t="str">
        <f aca="false">IF(Consolidated!B356="","",Consolidated!B356&amp;"|"&amp;TEXT(Consolidated!C356,"yyyymmdd"))</f>
        <v>ARC|20260715</v>
      </c>
      <c r="D353" s="0" t="str">
        <f aca="false">IF(Consolidated!I356="","",Consolidated!I356)</f>
        <v>Broken Promise / Recent Pay / Dialer Only</v>
      </c>
    </row>
    <row r="354" customFormat="false" ht="15" hidden="false" customHeight="false" outlineLevel="0" collapsed="false">
      <c r="A354" s="0" t="str">
        <f aca="false">IF(Consolidated!B357="","",Consolidated!B357&amp;"|"&amp;TEXT(Consolidated!C357,"yyyymmdd")&amp;"|"&amp;HOUR(Consolidated!D357))</f>
        <v>Auto|20260715|8</v>
      </c>
      <c r="B354" s="0" t="str">
        <f aca="false">IF(Consolidated!B357="","",SUBSTITUTE(SUBSTITUTE(TEXT(Consolidated!D357,"h:mm AM/PM")," AM","a")," PM","p")&amp;IF(Consolidated!E357="",""," "&amp;Consolidated!E357)&amp;IF(Consolidated!H357="",""," "&amp;Consolidated!H357))</f>
        <v>8:30a E AMs</v>
      </c>
      <c r="C354" s="0" t="str">
        <f aca="false">IF(Consolidated!B357="","",Consolidated!B357&amp;"|"&amp;TEXT(Consolidated!C357,"yyyymmdd"))</f>
        <v>Auto|20260715</v>
      </c>
      <c r="D354" s="0" t="str">
        <f aca="false">IF(Consolidated!I357="","",Consolidated!I357)</f>
        <v>Slowpay AM Daily</v>
      </c>
    </row>
    <row r="355" customFormat="false" ht="15" hidden="false" customHeight="false" outlineLevel="0" collapsed="false">
      <c r="A355" s="0" t="str">
        <f aca="false">IF(Consolidated!B358="","",Consolidated!B358&amp;"|"&amp;TEXT(Consolidated!C358,"yyyymmdd")&amp;"|"&amp;HOUR(Consolidated!D358))</f>
        <v>Auto|20260715|11</v>
      </c>
      <c r="B355" s="0" t="str">
        <f aca="false">IF(Consolidated!B358="","",SUBSTITUTE(SUBSTITUTE(TEXT(Consolidated!D358,"h:mm AM/PM")," AM","a")," PM","p")&amp;IF(Consolidated!E358="",""," "&amp;Consolidated!E358)&amp;IF(Consolidated!H358="",""," "&amp;Consolidated!H358))</f>
        <v>11:30a C-M-P AMs</v>
      </c>
      <c r="C355" s="0" t="str">
        <f aca="false">IF(Consolidated!B358="","",Consolidated!B358&amp;"|"&amp;TEXT(Consolidated!C358,"yyyymmdd"))</f>
        <v>Auto|20260715</v>
      </c>
      <c r="D355" s="0" t="str">
        <f aca="false">IF(Consolidated!I358="","",Consolidated!I358)</f>
        <v/>
      </c>
    </row>
    <row r="356" customFormat="false" ht="15" hidden="false" customHeight="false" outlineLevel="0" collapsed="false">
      <c r="A356" s="0" t="str">
        <f aca="false">IF(Consolidated!B359="","",Consolidated!B359&amp;"|"&amp;TEXT(Consolidated!C359,"yyyymmdd")&amp;"|"&amp;HOUR(Consolidated!D359))</f>
        <v>Auto|20260715|13</v>
      </c>
      <c r="B356" s="0" t="str">
        <f aca="false">IF(Consolidated!B359="","",SUBSTITUTE(SUBSTITUTE(TEXT(Consolidated!D359,"h:mm AM/PM")," AM","a")," PM","p")&amp;IF(Consolidated!E359="",""," "&amp;Consolidated!E359)&amp;IF(Consolidated!H359="",""," "&amp;Consolidated!H359))</f>
        <v>1:30p WFO</v>
      </c>
      <c r="C356" s="0" t="str">
        <f aca="false">IF(Consolidated!B359="","",Consolidated!B359&amp;"|"&amp;TEXT(Consolidated!C359,"yyyymmdd"))</f>
        <v>Auto|20260715</v>
      </c>
      <c r="D356" s="0" t="str">
        <f aca="false">IF(Consolidated!I359="","",Consolidated!I359)</f>
        <v/>
      </c>
    </row>
    <row r="357" customFormat="false" ht="15" hidden="false" customHeight="false" outlineLevel="0" collapsed="false">
      <c r="A357" s="0" t="str">
        <f aca="false">IF(Consolidated!B360="","",Consolidated!B360&amp;"|"&amp;TEXT(Consolidated!C360,"yyyymmdd")&amp;"|"&amp;HOUR(Consolidated!D360))</f>
        <v>Auto|20260715|17</v>
      </c>
      <c r="B357" s="0" t="str">
        <f aca="false">IF(Consolidated!B360="","",SUBSTITUTE(SUBSTITUTE(TEXT(Consolidated!D360,"h:mm AM/PM")," AM","a")," PM","p")&amp;IF(Consolidated!E360="",""," "&amp;Consolidated!E360)&amp;IF(Consolidated!H360="",""," "&amp;Consolidated!H360))</f>
        <v>5:00p Blitz</v>
      </c>
      <c r="C357" s="0" t="str">
        <f aca="false">IF(Consolidated!B360="","",Consolidated!B360&amp;"|"&amp;TEXT(Consolidated!C360,"yyyymmdd"))</f>
        <v>Auto|20260715</v>
      </c>
      <c r="D357" s="0" t="str">
        <f aca="false">IF(Consolidated!I360="","",Consolidated!I360)</f>
        <v/>
      </c>
    </row>
    <row r="358" customFormat="false" ht="15" hidden="false" customHeight="false" outlineLevel="0" collapsed="false">
      <c r="A358" s="0" t="str">
        <f aca="false">IF(Consolidated!B361="","",Consolidated!B361&amp;"|"&amp;TEXT(Consolidated!C361,"yyyymmdd")&amp;"|"&amp;HOUR(Consolidated!D361))</f>
        <v>Auto|20260715|20</v>
      </c>
      <c r="B358" s="0" t="str">
        <f aca="false">IF(Consolidated!B361="","",SUBSTITUTE(SUBSTITUTE(TEXT(Consolidated!D361,"h:mm AM/PM")," AM","a")," PM","p")&amp;IF(Consolidated!E361="",""," "&amp;Consolidated!E361)&amp;IF(Consolidated!H361="",""," "&amp;Consolidated!H361))</f>
        <v>8:00p TSC (All)</v>
      </c>
      <c r="C358" s="0" t="str">
        <f aca="false">IF(Consolidated!B361="","",Consolidated!B361&amp;"|"&amp;TEXT(Consolidated!C361,"yyyymmdd"))</f>
        <v>Auto|20260715</v>
      </c>
      <c r="D358" s="0" t="str">
        <f aca="false">IF(Consolidated!I361="","",Consolidated!I361)</f>
        <v/>
      </c>
    </row>
    <row r="359" customFormat="false" ht="15" hidden="false" customHeight="false" outlineLevel="0" collapsed="false">
      <c r="A359" s="0" t="str">
        <f aca="false">IF(Consolidated!B362="","",Consolidated!B362&amp;"|"&amp;TEXT(Consolidated!C362,"yyyymmdd")&amp;"|"&amp;HOUR(Consolidated!D362))</f>
        <v>BE|20260715|8</v>
      </c>
      <c r="B359" s="0" t="str">
        <f aca="false">IF(Consolidated!B362="","",SUBSTITUTE(SUBSTITUTE(TEXT(Consolidated!D362,"h:mm AM/PM")," AM","a")," PM","p")&amp;IF(Consolidated!E362="",""," "&amp;Consolidated!E362)&amp;IF(Consolidated!H362="",""," "&amp;Consolidated!H362))</f>
        <v>8:30a E AMs</v>
      </c>
      <c r="C359" s="0" t="str">
        <f aca="false">IF(Consolidated!B362="","",Consolidated!B362&amp;"|"&amp;TEXT(Consolidated!C362,"yyyymmdd"))</f>
        <v>BE|20260715</v>
      </c>
      <c r="D359" s="0" t="str">
        <f aca="false">IF(Consolidated!I362="","",Consolidated!I362)</f>
        <v/>
      </c>
    </row>
    <row r="360" customFormat="false" ht="15" hidden="false" customHeight="false" outlineLevel="0" collapsed="false">
      <c r="A360" s="0" t="str">
        <f aca="false">IF(Consolidated!B363="","",Consolidated!B363&amp;"|"&amp;TEXT(Consolidated!C363,"yyyymmdd")&amp;"|"&amp;HOUR(Consolidated!D363))</f>
        <v>BE|20260715|11</v>
      </c>
      <c r="B360" s="0" t="str">
        <f aca="false">IF(Consolidated!B363="","",SUBSTITUTE(SUBSTITUTE(TEXT(Consolidated!D363,"h:mm AM/PM")," AM","a")," PM","p")&amp;IF(Consolidated!E363="",""," "&amp;Consolidated!E363)&amp;IF(Consolidated!H363="",""," "&amp;Consolidated!H363))</f>
        <v>11:00a C-M-P AMs</v>
      </c>
      <c r="C360" s="0" t="str">
        <f aca="false">IF(Consolidated!B363="","",Consolidated!B363&amp;"|"&amp;TEXT(Consolidated!C363,"yyyymmdd"))</f>
        <v>BE|20260715</v>
      </c>
      <c r="D360" s="0" t="str">
        <f aca="false">IF(Consolidated!I363="","",Consolidated!I363)</f>
        <v/>
      </c>
    </row>
    <row r="361" customFormat="false" ht="15" hidden="false" customHeight="false" outlineLevel="0" collapsed="false">
      <c r="A361" s="0" t="str">
        <f aca="false">IF(Consolidated!B364="","",Consolidated!B364&amp;"|"&amp;TEXT(Consolidated!C364,"yyyymmdd")&amp;"|"&amp;HOUR(Consolidated!D364))</f>
        <v>BE|20260715|13</v>
      </c>
      <c r="B361" s="0" t="str">
        <f aca="false">IF(Consolidated!B364="","",SUBSTITUTE(SUBSTITUTE(TEXT(Consolidated!D364,"h:mm AM/PM")," AM","a")," PM","p")&amp;IF(Consolidated!E364="",""," "&amp;Consolidated!E364)&amp;IF(Consolidated!H364="",""," "&amp;Consolidated!H364))</f>
        <v>1:00p WFO</v>
      </c>
      <c r="C361" s="0" t="str">
        <f aca="false">IF(Consolidated!B364="","",Consolidated!B364&amp;"|"&amp;TEXT(Consolidated!C364,"yyyymmdd"))</f>
        <v>BE|20260715</v>
      </c>
      <c r="D361" s="0" t="str">
        <f aca="false">IF(Consolidated!I364="","",Consolidated!I364)</f>
        <v/>
      </c>
    </row>
    <row r="362" customFormat="false" ht="15" hidden="false" customHeight="false" outlineLevel="0" collapsed="false">
      <c r="A362" s="0" t="str">
        <f aca="false">IF(Consolidated!B365="","",Consolidated!B365&amp;"|"&amp;TEXT(Consolidated!C365,"yyyymmdd")&amp;"|"&amp;HOUR(Consolidated!D365))</f>
        <v>BE|20260715|15</v>
      </c>
      <c r="B362" s="0" t="str">
        <f aca="false">IF(Consolidated!B365="","",SUBSTITUTE(SUBSTITUTE(TEXT(Consolidated!D365,"h:mm AM/PM")," AM","a")," PM","p")&amp;IF(Consolidated!E365="",""," "&amp;Consolidated!E365)&amp;IF(Consolidated!H365="",""," "&amp;Consolidated!H365))</f>
        <v>3:30p All</v>
      </c>
      <c r="C362" s="0" t="str">
        <f aca="false">IF(Consolidated!B365="","",Consolidated!B365&amp;"|"&amp;TEXT(Consolidated!C365,"yyyymmdd"))</f>
        <v>BE|20260715</v>
      </c>
      <c r="D362" s="0" t="str">
        <f aca="false">IF(Consolidated!I365="","",Consolidated!I365)</f>
        <v/>
      </c>
    </row>
    <row r="363" customFormat="false" ht="15" hidden="false" customHeight="false" outlineLevel="0" collapsed="false">
      <c r="A363" s="0" t="str">
        <f aca="false">IF(Consolidated!B366="","",Consolidated!B366&amp;"|"&amp;TEXT(Consolidated!C366,"yyyymmdd")&amp;"|"&amp;HOUR(Consolidated!D366))</f>
        <v>BE|20260715|17</v>
      </c>
      <c r="B363" s="0" t="str">
        <f aca="false">IF(Consolidated!B366="","",SUBSTITUTE(SUBSTITUTE(TEXT(Consolidated!D366,"h:mm AM/PM")," AM","a")," PM","p")&amp;IF(Consolidated!E366="",""," "&amp;Consolidated!E366)&amp;IF(Consolidated!H366="",""," "&amp;Consolidated!H366))</f>
        <v>5:00p Blitz</v>
      </c>
      <c r="C363" s="0" t="str">
        <f aca="false">IF(Consolidated!B366="","",Consolidated!B366&amp;"|"&amp;TEXT(Consolidated!C366,"yyyymmdd"))</f>
        <v>BE|20260715</v>
      </c>
      <c r="D363" s="0" t="str">
        <f aca="false">IF(Consolidated!I366="","",Consolidated!I366)</f>
        <v/>
      </c>
    </row>
    <row r="364" customFormat="false" ht="15" hidden="false" customHeight="false" outlineLevel="0" collapsed="false">
      <c r="A364" s="0" t="str">
        <f aca="false">IF(Consolidated!B367="","",Consolidated!B367&amp;"|"&amp;TEXT(Consolidated!C367,"yyyymmdd")&amp;"|"&amp;HOUR(Consolidated!D367))</f>
        <v>BE|20260715|20</v>
      </c>
      <c r="B364" s="0" t="str">
        <f aca="false">IF(Consolidated!B367="","",SUBSTITUTE(SUBSTITUTE(TEXT(Consolidated!D367,"h:mm AM/PM")," AM","a")," PM","p")&amp;IF(Consolidated!E367="",""," "&amp;Consolidated!E367)&amp;IF(Consolidated!H367="",""," "&amp;Consolidated!H367))</f>
        <v>8:00p TSC (All)</v>
      </c>
      <c r="C364" s="0" t="str">
        <f aca="false">IF(Consolidated!B367="","",Consolidated!B367&amp;"|"&amp;TEXT(Consolidated!C367,"yyyymmdd"))</f>
        <v>BE|20260715</v>
      </c>
      <c r="D364" s="0" t="str">
        <f aca="false">IF(Consolidated!I367="","",Consolidated!I367)</f>
        <v/>
      </c>
    </row>
    <row r="365" customFormat="false" ht="15" hidden="false" customHeight="false" outlineLevel="0" collapsed="false">
      <c r="A365" s="0" t="str">
        <f aca="false">IF(Consolidated!B368="","",Consolidated!B368&amp;"|"&amp;TEXT(Consolidated!C368,"yyyymmdd")&amp;"|"&amp;HOUR(Consolidated!D368))</f>
        <v>Branch Central|20260715|12</v>
      </c>
      <c r="B365" s="0" t="str">
        <f aca="false">IF(Consolidated!B368="","",SUBSTITUTE(SUBSTITUTE(TEXT(Consolidated!D368,"h:mm AM/PM")," AM","a")," PM","p")&amp;IF(Consolidated!E368="",""," "&amp;Consolidated!E368)&amp;IF(Consolidated!H368="",""," "&amp;Consolidated!H368))</f>
        <v>12:30p E-C 1s &amp; Slow</v>
      </c>
      <c r="C365" s="0" t="str">
        <f aca="false">IF(Consolidated!B368="","",Consolidated!B368&amp;"|"&amp;TEXT(Consolidated!C368,"yyyymmdd"))</f>
        <v>Branch Central|20260715</v>
      </c>
      <c r="D365" s="0" t="str">
        <f aca="false">IF(Consolidated!I368="","",Consolidated!I368)</f>
        <v/>
      </c>
    </row>
    <row r="366" customFormat="false" ht="15" hidden="false" customHeight="false" outlineLevel="0" collapsed="false">
      <c r="A366" s="0" t="str">
        <f aca="false">IF(Consolidated!B369="","",Consolidated!B369&amp;"|"&amp;TEXT(Consolidated!C369,"yyyymmdd")&amp;"|"&amp;HOUR(Consolidated!D369))</f>
        <v>Branch Vendor|20260715|18</v>
      </c>
      <c r="B366" s="0" t="str">
        <f aca="false">IF(Consolidated!B369="","",SUBSTITUTE(SUBSTITUTE(TEXT(Consolidated!D369,"h:mm AM/PM")," AM","a")," PM","p")&amp;IF(Consolidated!E369="",""," "&amp;Consolidated!E369)&amp;IF(Consolidated!H369="",""," "&amp;Consolidated!H369))</f>
        <v>6:00p Vendor</v>
      </c>
      <c r="C366" s="0" t="str">
        <f aca="false">IF(Consolidated!B369="","",Consolidated!B369&amp;"|"&amp;TEXT(Consolidated!C369,"yyyymmdd"))</f>
        <v>Branch Vendor|20260715</v>
      </c>
      <c r="D366" s="0" t="str">
        <f aca="false">IF(Consolidated!I369="","",Consolidated!I369)</f>
        <v/>
      </c>
    </row>
    <row r="367" customFormat="false" ht="15" hidden="false" customHeight="false" outlineLevel="0" collapsed="false">
      <c r="A367" s="0" t="str">
        <f aca="false">IF(Consolidated!B370="","",Consolidated!B370&amp;"|"&amp;TEXT(Consolidated!C370,"yyyymmdd")&amp;"|"&amp;HOUR(Consolidated!D370))</f>
        <v>Card|20260715|8</v>
      </c>
      <c r="B367" s="0" t="str">
        <f aca="false">IF(Consolidated!B370="","",SUBSTITUTE(SUBSTITUTE(TEXT(Consolidated!D370,"h:mm AM/PM")," AM","a")," PM","p")&amp;IF(Consolidated!E370="",""," "&amp;Consolidated!E370)&amp;IF(Consolidated!H370="",""," "&amp;Consolidated!H370))</f>
        <v>8:00a</v>
      </c>
      <c r="C367" s="0" t="str">
        <f aca="false">IF(Consolidated!B370="","",Consolidated!B370&amp;"|"&amp;TEXT(Consolidated!C370,"yyyymmdd"))</f>
        <v>Card|20260715</v>
      </c>
      <c r="D367" s="0" t="str">
        <f aca="false">IF(Consolidated!I370="","",Consolidated!I370)</f>
        <v/>
      </c>
    </row>
    <row r="368" customFormat="false" ht="15" hidden="false" customHeight="false" outlineLevel="0" collapsed="false">
      <c r="A368" s="0" t="str">
        <f aca="false">IF(Consolidated!B371="","",Consolidated!B371&amp;"|"&amp;TEXT(Consolidated!C371,"yyyymmdd")&amp;"|"&amp;HOUR(Consolidated!D371))</f>
        <v>Card|20260715|12</v>
      </c>
      <c r="B368" s="0" t="str">
        <f aca="false">IF(Consolidated!B371="","",SUBSTITUTE(SUBSTITUTE(TEXT(Consolidated!D371,"h:mm AM/PM")," AM","a")," PM","p")&amp;IF(Consolidated!E371="",""," "&amp;Consolidated!E371)&amp;IF(Consolidated!H371="",""," "&amp;Consolidated!H371))</f>
        <v>12:00p</v>
      </c>
      <c r="C368" s="0" t="str">
        <f aca="false">IF(Consolidated!B371="","",Consolidated!B371&amp;"|"&amp;TEXT(Consolidated!C371,"yyyymmdd"))</f>
        <v>Card|20260715</v>
      </c>
      <c r="D368" s="0" t="str">
        <f aca="false">IF(Consolidated!I371="","",Consolidated!I371)</f>
        <v/>
      </c>
    </row>
    <row r="369" customFormat="false" ht="15" hidden="false" customHeight="false" outlineLevel="0" collapsed="false">
      <c r="A369" s="0" t="str">
        <f aca="false">IF(Consolidated!B372="","",Consolidated!B372&amp;"|"&amp;TEXT(Consolidated!C372,"yyyymmdd")&amp;"|"&amp;HOUR(Consolidated!D372))</f>
        <v>Card|20260715|14</v>
      </c>
      <c r="B369" s="0" t="str">
        <f aca="false">IF(Consolidated!B372="","",SUBSTITUTE(SUBSTITUTE(TEXT(Consolidated!D372,"h:mm AM/PM")," AM","a")," PM","p")&amp;IF(Consolidated!E372="",""," "&amp;Consolidated!E372)&amp;IF(Consolidated!H372="",""," "&amp;Consolidated!H372))</f>
        <v>2:00p ASAP</v>
      </c>
      <c r="C369" s="0" t="str">
        <f aca="false">IF(Consolidated!B372="","",Consolidated!B372&amp;"|"&amp;TEXT(Consolidated!C372,"yyyymmdd"))</f>
        <v>Card|20260715</v>
      </c>
      <c r="D369" s="0" t="str">
        <f aca="false">IF(Consolidated!I372="","",Consolidated!I372)</f>
        <v/>
      </c>
    </row>
    <row r="370" customFormat="false" ht="15" hidden="false" customHeight="false" outlineLevel="0" collapsed="false">
      <c r="A370" s="0" t="str">
        <f aca="false">IF(Consolidated!B373="","",Consolidated!B373&amp;"|"&amp;TEXT(Consolidated!C373,"yyyymmdd")&amp;"|"&amp;HOUR(Consolidated!D373))</f>
        <v>Card|20260715|16</v>
      </c>
      <c r="B370" s="0" t="str">
        <f aca="false">IF(Consolidated!B373="","",SUBSTITUTE(SUBSTITUTE(TEXT(Consolidated!D373,"h:mm AM/PM")," AM","a")," PM","p")&amp;IF(Consolidated!E373="",""," "&amp;Consolidated!E373)&amp;IF(Consolidated!H373="",""," "&amp;Consolidated!H373))</f>
        <v>4:00p ASAP</v>
      </c>
      <c r="C370" s="0" t="str">
        <f aca="false">IF(Consolidated!B373="","",Consolidated!B373&amp;"|"&amp;TEXT(Consolidated!C373,"yyyymmdd"))</f>
        <v>Card|20260715</v>
      </c>
      <c r="D370" s="0" t="str">
        <f aca="false">IF(Consolidated!I373="","",Consolidated!I373)</f>
        <v/>
      </c>
    </row>
    <row r="371" customFormat="false" ht="15" hidden="false" customHeight="false" outlineLevel="0" collapsed="false">
      <c r="A371" s="0" t="str">
        <f aca="false">IF(Consolidated!B374="","",Consolidated!B374&amp;"|"&amp;TEXT(Consolidated!C374,"yyyymmdd")&amp;"|"&amp;HOUR(Consolidated!D374))</f>
        <v>Card|20260715|18</v>
      </c>
      <c r="B371" s="0" t="str">
        <f aca="false">IF(Consolidated!B374="","",SUBSTITUTE(SUBSTITUTE(TEXT(Consolidated!D374,"h:mm AM/PM")," AM","a")," PM","p")&amp;IF(Consolidated!E374="",""," "&amp;Consolidated!E374)&amp;IF(Consolidated!H374="",""," "&amp;Consolidated!H374))</f>
        <v>6:00p ASAP</v>
      </c>
      <c r="C371" s="0" t="str">
        <f aca="false">IF(Consolidated!B374="","",Consolidated!B374&amp;"|"&amp;TEXT(Consolidated!C374,"yyyymmdd"))</f>
        <v>Card|20260715</v>
      </c>
      <c r="D371" s="0" t="str">
        <f aca="false">IF(Consolidated!I374="","",Consolidated!I374)</f>
        <v/>
      </c>
    </row>
    <row r="372" customFormat="false" ht="15" hidden="false" customHeight="false" outlineLevel="0" collapsed="false">
      <c r="A372" s="0" t="str">
        <f aca="false">IF(Consolidated!B375="","",Consolidated!B375&amp;"|"&amp;TEXT(Consolidated!C375,"yyyymmdd")&amp;"|"&amp;HOUR(Consolidated!D375))</f>
        <v>Card|20260715|12</v>
      </c>
      <c r="B372" s="0" t="str">
        <f aca="false">IF(Consolidated!B375="","",SUBSTITUTE(SUBSTITUTE(TEXT(Consolidated!D375,"h:mm AM/PM")," AM","a")," PM","p")&amp;IF(Consolidated!E375="",""," "&amp;Consolidated!E375)&amp;IF(Consolidated!H375="",""," "&amp;Consolidated!H375))</f>
        <v>12:30p</v>
      </c>
      <c r="C372" s="0" t="str">
        <f aca="false">IF(Consolidated!B375="","",Consolidated!B375&amp;"|"&amp;TEXT(Consolidated!C375,"yyyymmdd"))</f>
        <v>Card|20260715</v>
      </c>
      <c r="D372" s="0" t="str">
        <f aca="false">IF(Consolidated!I375="","",Consolidated!I375)</f>
        <v/>
      </c>
    </row>
    <row r="373" customFormat="false" ht="15" hidden="false" customHeight="false" outlineLevel="0" collapsed="false">
      <c r="A373" s="0" t="str">
        <f aca="false">IF(Consolidated!B376="","",Consolidated!B376&amp;"|"&amp;TEXT(Consolidated!C376,"yyyymmdd")&amp;"|"&amp;HOUR(Consolidated!D376))</f>
        <v>Card|20260715|6</v>
      </c>
      <c r="B373" s="0" t="str">
        <f aca="false">IF(Consolidated!B376="","",SUBSTITUTE(SUBSTITUTE(TEXT(Consolidated!D376,"h:mm AM/PM")," AM","a")," PM","p")&amp;IF(Consolidated!E376="",""," "&amp;Consolidated!E376)&amp;IF(Consolidated!H376="",""," "&amp;Consolidated!H376))</f>
        <v>6:00a</v>
      </c>
      <c r="C373" s="0" t="str">
        <f aca="false">IF(Consolidated!B376="","",Consolidated!B376&amp;"|"&amp;TEXT(Consolidated!C376,"yyyymmdd"))</f>
        <v>Card|20260715</v>
      </c>
      <c r="D373" s="0" t="str">
        <f aca="false">IF(Consolidated!I376="","",Consolidated!I376)</f>
        <v/>
      </c>
    </row>
    <row r="374" customFormat="false" ht="15" hidden="false" customHeight="false" outlineLevel="0" collapsed="false">
      <c r="A374" s="0" t="str">
        <f aca="false">IF(Consolidated!B377="","",Consolidated!B377&amp;"|"&amp;TEXT(Consolidated!C377,"yyyymmdd")&amp;"|"&amp;HOUR(Consolidated!D377))</f>
        <v>FE|20260715|10</v>
      </c>
      <c r="B374" s="0" t="str">
        <f aca="false">IF(Consolidated!B377="","",SUBSTITUTE(SUBSTITUTE(TEXT(Consolidated!D377,"h:mm AM/PM")," AM","a")," PM","p")&amp;IF(Consolidated!E377="",""," "&amp;Consolidated!E377)&amp;IF(Consolidated!H377="",""," "&amp;Consolidated!H377))</f>
        <v>10:00a E-C-M AMs</v>
      </c>
      <c r="C374" s="0" t="str">
        <f aca="false">IF(Consolidated!B377="","",Consolidated!B377&amp;"|"&amp;TEXT(Consolidated!C377,"yyyymmdd"))</f>
        <v>FE|20260715</v>
      </c>
      <c r="D374" s="0" t="str">
        <f aca="false">IF(Consolidated!I377="","",Consolidated!I377)</f>
        <v/>
      </c>
    </row>
    <row r="375" customFormat="false" ht="15" hidden="false" customHeight="false" outlineLevel="0" collapsed="false">
      <c r="A375" s="0" t="str">
        <f aca="false">IF(Consolidated!B378="","",Consolidated!B378&amp;"|"&amp;TEXT(Consolidated!C378,"yyyymmdd")&amp;"|"&amp;HOUR(Consolidated!D378))</f>
        <v>FE|20260715|11</v>
      </c>
      <c r="B375" s="0" t="str">
        <f aca="false">IF(Consolidated!B378="","",SUBSTITUTE(SUBSTITUTE(TEXT(Consolidated!D378,"h:mm AM/PM")," AM","a")," PM","p")&amp;IF(Consolidated!E378="",""," "&amp;Consolidated!E378)&amp;IF(Consolidated!H378="",""," "&amp;Consolidated!H378))</f>
        <v>11:30a P AMs</v>
      </c>
      <c r="C375" s="0" t="str">
        <f aca="false">IF(Consolidated!B378="","",Consolidated!B378&amp;"|"&amp;TEXT(Consolidated!C378,"yyyymmdd"))</f>
        <v>FE|20260715</v>
      </c>
      <c r="D375" s="0" t="str">
        <f aca="false">IF(Consolidated!I378="","",Consolidated!I378)</f>
        <v/>
      </c>
    </row>
    <row r="376" customFormat="false" ht="15" hidden="false" customHeight="false" outlineLevel="0" collapsed="false">
      <c r="A376" s="0" t="str">
        <f aca="false">IF(Consolidated!B379="","",Consolidated!B379&amp;"|"&amp;TEXT(Consolidated!C379,"yyyymmdd")&amp;"|"&amp;HOUR(Consolidated!D379))</f>
        <v>FE|20260715|12</v>
      </c>
      <c r="B376" s="0" t="str">
        <f aca="false">IF(Consolidated!B379="","",SUBSTITUTE(SUBSTITUTE(TEXT(Consolidated!D379,"h:mm AM/PM")," AM","a")," PM","p")&amp;IF(Consolidated!E379="",""," "&amp;Consolidated!E379)&amp;IF(Consolidated!H379="",""," "&amp;Consolidated!H379))</f>
        <v>12:30p Branch</v>
      </c>
      <c r="C376" s="0" t="str">
        <f aca="false">IF(Consolidated!B379="","",Consolidated!B379&amp;"|"&amp;TEXT(Consolidated!C379,"yyyymmdd"))</f>
        <v>FE|20260715</v>
      </c>
      <c r="D376" s="0" t="str">
        <f aca="false">IF(Consolidated!I379="","",Consolidated!I379)</f>
        <v/>
      </c>
    </row>
    <row r="377" customFormat="false" ht="15" hidden="false" customHeight="false" outlineLevel="0" collapsed="false">
      <c r="A377" s="0" t="str">
        <f aca="false">IF(Consolidated!B380="","",Consolidated!B380&amp;"|"&amp;TEXT(Consolidated!C380,"yyyymmdd")&amp;"|"&amp;HOUR(Consolidated!D380))</f>
        <v>FE|20260715|13</v>
      </c>
      <c r="B377" s="0" t="str">
        <f aca="false">IF(Consolidated!B380="","",SUBSTITUTE(SUBSTITUTE(TEXT(Consolidated!D380,"h:mm AM/PM")," AM","a")," PM","p")&amp;IF(Consolidated!E380="",""," "&amp;Consolidated!E380)&amp;IF(Consolidated!H380="",""," "&amp;Consolidated!H380))</f>
        <v>1:30p WFO</v>
      </c>
      <c r="C377" s="0" t="str">
        <f aca="false">IF(Consolidated!B380="","",Consolidated!B380&amp;"|"&amp;TEXT(Consolidated!C380,"yyyymmdd"))</f>
        <v>FE|20260715</v>
      </c>
      <c r="D377" s="0" t="str">
        <f aca="false">IF(Consolidated!I380="","",Consolidated!I380)</f>
        <v/>
      </c>
    </row>
    <row r="378" customFormat="false" ht="15" hidden="false" customHeight="false" outlineLevel="0" collapsed="false">
      <c r="A378" s="0" t="str">
        <f aca="false">IF(Consolidated!B381="","",Consolidated!B381&amp;"|"&amp;TEXT(Consolidated!C381,"yyyymmdd")&amp;"|"&amp;HOUR(Consolidated!D381))</f>
        <v>FE|20260715|17</v>
      </c>
      <c r="B378" s="0" t="str">
        <f aca="false">IF(Consolidated!B381="","",SUBSTITUTE(SUBSTITUTE(TEXT(Consolidated!D381,"h:mm AM/PM")," AM","a")," PM","p")&amp;IF(Consolidated!E381="",""," "&amp;Consolidated!E381)&amp;IF(Consolidated!H381="",""," "&amp;Consolidated!H381))</f>
        <v>5:00p Blitz</v>
      </c>
      <c r="C378" s="0" t="str">
        <f aca="false">IF(Consolidated!B381="","",Consolidated!B381&amp;"|"&amp;TEXT(Consolidated!C381,"yyyymmdd"))</f>
        <v>FE|20260715</v>
      </c>
      <c r="D378" s="0" t="str">
        <f aca="false">IF(Consolidated!I381="","",Consolidated!I381)</f>
        <v/>
      </c>
    </row>
    <row r="379" customFormat="false" ht="15" hidden="false" customHeight="false" outlineLevel="0" collapsed="false">
      <c r="A379" s="0" t="str">
        <f aca="false">IF(Consolidated!B382="","",Consolidated!B382&amp;"|"&amp;TEXT(Consolidated!C382,"yyyymmdd")&amp;"|"&amp;HOUR(Consolidated!D382))</f>
        <v>FE|20260715|20</v>
      </c>
      <c r="B379" s="0" t="str">
        <f aca="false">IF(Consolidated!B382="","",SUBSTITUTE(SUBSTITUTE(TEXT(Consolidated!D382,"h:mm AM/PM")," AM","a")," PM","p")&amp;IF(Consolidated!E382="",""," "&amp;Consolidated!E382)&amp;IF(Consolidated!H382="",""," "&amp;Consolidated!H382))</f>
        <v>8:00p TSC (All)</v>
      </c>
      <c r="C379" s="0" t="str">
        <f aca="false">IF(Consolidated!B382="","",Consolidated!B382&amp;"|"&amp;TEXT(Consolidated!C382,"yyyymmdd"))</f>
        <v>FE|20260715</v>
      </c>
      <c r="D379" s="0" t="str">
        <f aca="false">IF(Consolidated!I382="","",Consolidated!I382)</f>
        <v/>
      </c>
    </row>
    <row r="380" customFormat="false" ht="15" hidden="false" customHeight="false" outlineLevel="0" collapsed="false">
      <c r="A380" s="0" t="str">
        <f aca="false">IF(Consolidated!B383="","",Consolidated!B383&amp;"|"&amp;TEXT(Consolidated!C383,"yyyymmdd")&amp;"|"&amp;HOUR(Consolidated!D383))</f>
        <v>Optional Products|20260715|0</v>
      </c>
      <c r="B380" s="0" t="str">
        <f aca="false">IF(Consolidated!B383="","",SUBSTITUTE(SUBSTITUTE(TEXT(Consolidated!D383,"h:mm AM/PM")," AM","a")," PM","p")&amp;IF(Consolidated!E383="",""," "&amp;Consolidated!E383)&amp;IF(Consolidated!H383="",""," "&amp;Consolidated!H383))</f>
        <v>12:00a First</v>
      </c>
      <c r="C380" s="0" t="str">
        <f aca="false">IF(Consolidated!B383="","",Consolidated!B383&amp;"|"&amp;TEXT(Consolidated!C383,"yyyymmdd"))</f>
        <v>Optional Products|20260715</v>
      </c>
      <c r="D380" s="0" t="str">
        <f aca="false">IF(Consolidated!I383="","",Consolidated!I383)</f>
        <v>Priority Order: First</v>
      </c>
    </row>
    <row r="381" customFormat="false" ht="15" hidden="false" customHeight="false" outlineLevel="0" collapsed="false">
      <c r="A381" s="0" t="str">
        <f aca="false">IF(Consolidated!B384="","",Consolidated!B384&amp;"|"&amp;TEXT(Consolidated!C384,"yyyymmdd")&amp;"|"&amp;HOUR(Consolidated!D384))</f>
        <v>PCO|20260715|8</v>
      </c>
      <c r="B381" s="0" t="str">
        <f aca="false">IF(Consolidated!B384="","",SUBSTITUTE(SUBSTITUTE(TEXT(Consolidated!D384,"h:mm AM/PM")," AM","a")," PM","p")&amp;IF(Consolidated!E384="",""," "&amp;Consolidated!E384)&amp;IF(Consolidated!H384="",""," "&amp;Consolidated!H384))</f>
        <v>8:15a E AMs</v>
      </c>
      <c r="C381" s="0" t="str">
        <f aca="false">IF(Consolidated!B384="","",Consolidated!B384&amp;"|"&amp;TEXT(Consolidated!C384,"yyyymmdd"))</f>
        <v>PCO|20260715</v>
      </c>
      <c r="D381" s="0" t="str">
        <f aca="false">IF(Consolidated!I384="","",Consolidated!I384)</f>
        <v/>
      </c>
    </row>
    <row r="382" customFormat="false" ht="15" hidden="false" customHeight="false" outlineLevel="0" collapsed="false">
      <c r="A382" s="0" t="str">
        <f aca="false">IF(Consolidated!B385="","",Consolidated!B385&amp;"|"&amp;TEXT(Consolidated!C385,"yyyymmdd")&amp;"|"&amp;HOUR(Consolidated!D385))</f>
        <v>PCO|20260715|11</v>
      </c>
      <c r="B382" s="0" t="str">
        <f aca="false">IF(Consolidated!B385="","",SUBSTITUTE(SUBSTITUTE(TEXT(Consolidated!D385,"h:mm AM/PM")," AM","a")," PM","p")&amp;IF(Consolidated!E385="",""," "&amp;Consolidated!E385)&amp;IF(Consolidated!H385="",""," "&amp;Consolidated!H385))</f>
        <v>11:15a C-M-P AMs</v>
      </c>
      <c r="C382" s="0" t="str">
        <f aca="false">IF(Consolidated!B385="","",Consolidated!B385&amp;"|"&amp;TEXT(Consolidated!C385,"yyyymmdd"))</f>
        <v>PCO|20260715</v>
      </c>
      <c r="D382" s="0" t="str">
        <f aca="false">IF(Consolidated!I385="","",Consolidated!I385)</f>
        <v/>
      </c>
    </row>
    <row r="383" customFormat="false" ht="15" hidden="false" customHeight="false" outlineLevel="0" collapsed="false">
      <c r="A383" s="0" t="str">
        <f aca="false">IF(Consolidated!B386="","",Consolidated!B386&amp;"|"&amp;TEXT(Consolidated!C386,"yyyymmdd")&amp;"|"&amp;HOUR(Consolidated!D386))</f>
        <v>PCO|20260715|13</v>
      </c>
      <c r="B383" s="0" t="str">
        <f aca="false">IF(Consolidated!B386="","",SUBSTITUTE(SUBSTITUTE(TEXT(Consolidated!D386,"h:mm AM/PM")," AM","a")," PM","p")&amp;IF(Consolidated!E386="",""," "&amp;Consolidated!E386)&amp;IF(Consolidated!H386="",""," "&amp;Consolidated!H386))</f>
        <v>1:00p WFO</v>
      </c>
      <c r="C383" s="0" t="str">
        <f aca="false">IF(Consolidated!B386="","",Consolidated!B386&amp;"|"&amp;TEXT(Consolidated!C386,"yyyymmdd"))</f>
        <v>PCO|20260715</v>
      </c>
      <c r="D383" s="0" t="str">
        <f aca="false">IF(Consolidated!I386="","",Consolidated!I386)</f>
        <v/>
      </c>
    </row>
    <row r="384" customFormat="false" ht="15" hidden="false" customHeight="false" outlineLevel="0" collapsed="false">
      <c r="A384" s="0" t="str">
        <f aca="false">IF(Consolidated!B387="","",Consolidated!B387&amp;"|"&amp;TEXT(Consolidated!C387,"yyyymmdd")&amp;"|"&amp;HOUR(Consolidated!D387))</f>
        <v>PCO|20260715|17</v>
      </c>
      <c r="B384" s="0" t="str">
        <f aca="false">IF(Consolidated!B387="","",SUBSTITUTE(SUBSTITUTE(TEXT(Consolidated!D387,"h:mm AM/PM")," AM","a")," PM","p")&amp;IF(Consolidated!E387="",""," "&amp;Consolidated!E387)&amp;IF(Consolidated!H387="",""," "&amp;Consolidated!H387))</f>
        <v>5:00p Blitz</v>
      </c>
      <c r="C384" s="0" t="str">
        <f aca="false">IF(Consolidated!B387="","",Consolidated!B387&amp;"|"&amp;TEXT(Consolidated!C387,"yyyymmdd"))</f>
        <v>PCO|20260715</v>
      </c>
      <c r="D384" s="0" t="str">
        <f aca="false">IF(Consolidated!I387="","",Consolidated!I387)</f>
        <v/>
      </c>
    </row>
    <row r="385" customFormat="false" ht="15" hidden="false" customHeight="false" outlineLevel="0" collapsed="false">
      <c r="A385" s="0" t="str">
        <f aca="false">IF(Consolidated!B388="","",Consolidated!B388&amp;"|"&amp;TEXT(Consolidated!C388,"yyyymmdd")&amp;"|"&amp;HOUR(Consolidated!D388))</f>
        <v>PCO|20260715|20</v>
      </c>
      <c r="B385" s="0" t="str">
        <f aca="false">IF(Consolidated!B388="","",SUBSTITUTE(SUBSTITUTE(TEXT(Consolidated!D388,"h:mm AM/PM")," AM","a")," PM","p")&amp;IF(Consolidated!E388="",""," "&amp;Consolidated!E388)&amp;IF(Consolidated!H388="",""," "&amp;Consolidated!H388))</f>
        <v>8:00p TSC (All)</v>
      </c>
      <c r="C385" s="0" t="str">
        <f aca="false">IF(Consolidated!B388="","",Consolidated!B388&amp;"|"&amp;TEXT(Consolidated!C388,"yyyymmdd"))</f>
        <v>PCO|20260715</v>
      </c>
      <c r="D385" s="0" t="str">
        <f aca="false">IF(Consolidated!I388="","",Consolidated!I388)</f>
        <v/>
      </c>
    </row>
    <row r="386" customFormat="false" ht="15" hidden="false" customHeight="false" outlineLevel="0" collapsed="false">
      <c r="A386" s="0" t="str">
        <f aca="false">IF(Consolidated!B389="","",Consolidated!B389&amp;"|"&amp;TEXT(Consolidated!C389,"yyyymmdd")&amp;"|"&amp;HOUR(Consolidated!D389))</f>
        <v>Repo|20260715|8</v>
      </c>
      <c r="B386" s="0" t="str">
        <f aca="false">IF(Consolidated!B389="","",SUBSTITUTE(SUBSTITUTE(TEXT(Consolidated!D389,"h:mm AM/PM")," AM","a")," PM","p")&amp;IF(Consolidated!E389="",""," "&amp;Consolidated!E389)&amp;IF(Consolidated!H389="",""," "&amp;Consolidated!H389))</f>
        <v>8:15a Repo</v>
      </c>
      <c r="C386" s="0" t="str">
        <f aca="false">IF(Consolidated!B389="","",Consolidated!B389&amp;"|"&amp;TEXT(Consolidated!C389,"yyyymmdd"))</f>
        <v>Repo|20260715</v>
      </c>
      <c r="D386" s="0" t="str">
        <f aca="false">IF(Consolidated!I389="","",Consolidated!I389)</f>
        <v>AM Daily</v>
      </c>
    </row>
    <row r="387" customFormat="false" ht="15" hidden="false" customHeight="false" outlineLevel="0" collapsed="false">
      <c r="A387" s="0" t="str">
        <f aca="false">IF(Consolidated!B390="","",Consolidated!B390&amp;"|"&amp;TEXT(Consolidated!C390,"yyyymmdd")&amp;"|"&amp;HOUR(Consolidated!D390))</f>
        <v>Repo|20260715|10</v>
      </c>
      <c r="B387" s="0" t="str">
        <f aca="false">IF(Consolidated!B390="","",SUBSTITUTE(SUBSTITUTE(TEXT(Consolidated!D390,"h:mm AM/PM")," AM","a")," PM","p")&amp;IF(Consolidated!E390="",""," "&amp;Consolidated!E390)&amp;IF(Consolidated!H390="",""," "&amp;Consolidated!H390))</f>
        <v>10:00a Repo</v>
      </c>
      <c r="C387" s="0" t="str">
        <f aca="false">IF(Consolidated!B390="","",Consolidated!B390&amp;"|"&amp;TEXT(Consolidated!C390,"yyyymmdd"))</f>
        <v>Repo|20260715</v>
      </c>
      <c r="D387" s="0" t="str">
        <f aca="false">IF(Consolidated!I390="","",Consolidated!I390)</f>
        <v/>
      </c>
    </row>
    <row r="388" customFormat="false" ht="15" hidden="false" customHeight="false" outlineLevel="0" collapsed="false">
      <c r="A388" s="0" t="str">
        <f aca="false">IF(Consolidated!B391="","",Consolidated!B391&amp;"|"&amp;TEXT(Consolidated!C391,"yyyymmdd")&amp;"|"&amp;HOUR(Consolidated!D391))</f>
        <v>Repo|20260715|12</v>
      </c>
      <c r="B388" s="0" t="str">
        <f aca="false">IF(Consolidated!B391="","",SUBSTITUTE(SUBSTITUTE(TEXT(Consolidated!D391,"h:mm AM/PM")," AM","a")," PM","p")&amp;IF(Consolidated!E391="",""," "&amp;Consolidated!E391)&amp;IF(Consolidated!H391="",""," "&amp;Consolidated!H391))</f>
        <v>12:00p RP</v>
      </c>
      <c r="C388" s="0" t="str">
        <f aca="false">IF(Consolidated!B391="","",Consolidated!B391&amp;"|"&amp;TEXT(Consolidated!C391,"yyyymmdd"))</f>
        <v>Repo|20260715</v>
      </c>
      <c r="D388" s="0" t="str">
        <f aca="false">IF(Consolidated!I391="","",Consolidated!I391)</f>
        <v/>
      </c>
    </row>
    <row r="389" customFormat="false" ht="15" hidden="false" customHeight="false" outlineLevel="0" collapsed="false">
      <c r="A389" s="0" t="str">
        <f aca="false">IF(Consolidated!B392="","",Consolidated!B392&amp;"|"&amp;TEXT(Consolidated!C392,"yyyymmdd")&amp;"|"&amp;HOUR(Consolidated!D392))</f>
        <v>Repo|20260715|14</v>
      </c>
      <c r="B389" s="0" t="str">
        <f aca="false">IF(Consolidated!B392="","",SUBSTITUTE(SUBSTITUTE(TEXT(Consolidated!D392,"h:mm AM/PM")," AM","a")," PM","p")&amp;IF(Consolidated!E392="",""," "&amp;Consolidated!E392)&amp;IF(Consolidated!H392="",""," "&amp;Consolidated!H392))</f>
        <v>2:00p Repo</v>
      </c>
      <c r="C389" s="0" t="str">
        <f aca="false">IF(Consolidated!B392="","",Consolidated!B392&amp;"|"&amp;TEXT(Consolidated!C392,"yyyymmdd"))</f>
        <v>Repo|20260715</v>
      </c>
      <c r="D389" s="0" t="str">
        <f aca="false">IF(Consolidated!I392="","",Consolidated!I392)</f>
        <v/>
      </c>
    </row>
    <row r="390" customFormat="false" ht="15" hidden="false" customHeight="false" outlineLevel="0" collapsed="false">
      <c r="A390" s="0" t="str">
        <f aca="false">IF(Consolidated!B393="","",Consolidated!B393&amp;"|"&amp;TEXT(Consolidated!C393,"yyyymmdd")&amp;"|"&amp;HOUR(Consolidated!D393))</f>
        <v>ARC|20260716|13</v>
      </c>
      <c r="B390" s="0" t="str">
        <f aca="false">IF(Consolidated!B393="","",SUBSTITUTE(SUBSTITUTE(TEXT(Consolidated!D393,"h:mm AM/PM")," AM","a")," PM","p")&amp;IF(Consolidated!E393="",""," "&amp;Consolidated!E393)&amp;IF(Consolidated!H393="",""," "&amp;Consolidated!H393))</f>
        <v>1:30p NCs</v>
      </c>
      <c r="C390" s="0" t="str">
        <f aca="false">IF(Consolidated!B393="","",Consolidated!B393&amp;"|"&amp;TEXT(Consolidated!C393,"yyyymmdd"))</f>
        <v>ARC|20260716</v>
      </c>
      <c r="D390" s="0" t="str">
        <f aca="false">IF(Consolidated!I393="","",Consolidated!I393)</f>
        <v>Hit Priority  / Strat 7 / APP</v>
      </c>
    </row>
    <row r="391" customFormat="false" ht="15" hidden="false" customHeight="false" outlineLevel="0" collapsed="false">
      <c r="A391" s="0" t="str">
        <f aca="false">IF(Consolidated!B394="","",Consolidated!B394&amp;"|"&amp;TEXT(Consolidated!C394,"yyyymmdd")&amp;"|"&amp;HOUR(Consolidated!D394))</f>
        <v>Auto|20260716|8</v>
      </c>
      <c r="B391" s="0" t="str">
        <f aca="false">IF(Consolidated!B394="","",SUBSTITUTE(SUBSTITUTE(TEXT(Consolidated!D394,"h:mm AM/PM")," AM","a")," PM","p")&amp;IF(Consolidated!E394="",""," "&amp;Consolidated!E394)&amp;IF(Consolidated!H394="",""," "&amp;Consolidated!H394))</f>
        <v>8:15a E</v>
      </c>
      <c r="C391" s="0" t="str">
        <f aca="false">IF(Consolidated!B394="","",Consolidated!B394&amp;"|"&amp;TEXT(Consolidated!C394,"yyyymmdd"))</f>
        <v>Auto|20260716</v>
      </c>
      <c r="D391" s="0" t="str">
        <f aca="false">IF(Consolidated!I394="","",Consolidated!I394)</f>
        <v>Slowpay AM Daily</v>
      </c>
    </row>
    <row r="392" customFormat="false" ht="15" hidden="false" customHeight="false" outlineLevel="0" collapsed="false">
      <c r="A392" s="0" t="str">
        <f aca="false">IF(Consolidated!B395="","",Consolidated!B395&amp;"|"&amp;TEXT(Consolidated!C395,"yyyymmdd")&amp;"|"&amp;HOUR(Consolidated!D395))</f>
        <v>Auto|20260716|11</v>
      </c>
      <c r="B392" s="0" t="str">
        <f aca="false">IF(Consolidated!B395="","",SUBSTITUTE(SUBSTITUTE(TEXT(Consolidated!D395,"h:mm AM/PM")," AM","a")," PM","p")&amp;IF(Consolidated!E395="",""," "&amp;Consolidated!E395)&amp;IF(Consolidated!H395="",""," "&amp;Consolidated!H395))</f>
        <v>11:30a C-M-P</v>
      </c>
      <c r="C392" s="0" t="str">
        <f aca="false">IF(Consolidated!B395="","",Consolidated!B395&amp;"|"&amp;TEXT(Consolidated!C395,"yyyymmdd"))</f>
        <v>Auto|20260716</v>
      </c>
      <c r="D392" s="0" t="str">
        <f aca="false">IF(Consolidated!I395="","",Consolidated!I395)</f>
        <v/>
      </c>
    </row>
    <row r="393" customFormat="false" ht="15" hidden="false" customHeight="false" outlineLevel="0" collapsed="false">
      <c r="A393" s="0" t="str">
        <f aca="false">IF(Consolidated!B396="","",Consolidated!B396&amp;"|"&amp;TEXT(Consolidated!C396,"yyyymmdd")&amp;"|"&amp;HOUR(Consolidated!D396))</f>
        <v>Auto|20260716|13</v>
      </c>
      <c r="B393" s="0" t="str">
        <f aca="false">IF(Consolidated!B396="","",SUBSTITUTE(SUBSTITUTE(TEXT(Consolidated!D396,"h:mm AM/PM")," AM","a")," PM","p")&amp;IF(Consolidated!E396="",""," "&amp;Consolidated!E396)&amp;IF(Consolidated!H396="",""," "&amp;Consolidated!H396))</f>
        <v>1:30p WFO</v>
      </c>
      <c r="C393" s="0" t="str">
        <f aca="false">IF(Consolidated!B396="","",Consolidated!B396&amp;"|"&amp;TEXT(Consolidated!C396,"yyyymmdd"))</f>
        <v>Auto|20260716</v>
      </c>
      <c r="D393" s="0" t="str">
        <f aca="false">IF(Consolidated!I396="","",Consolidated!I396)</f>
        <v/>
      </c>
    </row>
    <row r="394" customFormat="false" ht="15" hidden="false" customHeight="false" outlineLevel="0" collapsed="false">
      <c r="A394" s="0" t="str">
        <f aca="false">IF(Consolidated!B397="","",Consolidated!B397&amp;"|"&amp;TEXT(Consolidated!C397,"yyyymmdd")&amp;"|"&amp;HOUR(Consolidated!D397))</f>
        <v>Auto|20260716|14</v>
      </c>
      <c r="B394" s="0" t="str">
        <f aca="false">IF(Consolidated!B397="","",SUBSTITUTE(SUBSTITUTE(TEXT(Consolidated!D397,"h:mm AM/PM")," AM","a")," PM","p")&amp;IF(Consolidated!E397="",""," "&amp;Consolidated!E397)&amp;IF(Consolidated!H397="",""," "&amp;Consolidated!H397))</f>
        <v>2:30p All</v>
      </c>
      <c r="C394" s="0" t="str">
        <f aca="false">IF(Consolidated!B397="","",Consolidated!B397&amp;"|"&amp;TEXT(Consolidated!C397,"yyyymmdd"))</f>
        <v>Auto|20260716</v>
      </c>
      <c r="D394" s="0" t="str">
        <f aca="false">IF(Consolidated!I397="","",Consolidated!I397)</f>
        <v/>
      </c>
    </row>
    <row r="395" customFormat="false" ht="15" hidden="false" customHeight="false" outlineLevel="0" collapsed="false">
      <c r="A395" s="0" t="str">
        <f aca="false">IF(Consolidated!B398="","",Consolidated!B398&amp;"|"&amp;TEXT(Consolidated!C398,"yyyymmdd")&amp;"|"&amp;HOUR(Consolidated!D398))</f>
        <v>Auto|20260716|16</v>
      </c>
      <c r="B395" s="0" t="str">
        <f aca="false">IF(Consolidated!B398="","",SUBSTITUTE(SUBSTITUTE(TEXT(Consolidated!D398,"h:mm AM/PM")," AM","a")," PM","p")&amp;IF(Consolidated!E398="",""," "&amp;Consolidated!E398)&amp;IF(Consolidated!H398="",""," "&amp;Consolidated!H398))</f>
        <v>4:00p All</v>
      </c>
      <c r="C395" s="0" t="str">
        <f aca="false">IF(Consolidated!B398="","",Consolidated!B398&amp;"|"&amp;TEXT(Consolidated!C398,"yyyymmdd"))</f>
        <v>Auto|20260716</v>
      </c>
      <c r="D395" s="0" t="str">
        <f aca="false">IF(Consolidated!I398="","",Consolidated!I398)</f>
        <v/>
      </c>
    </row>
    <row r="396" customFormat="false" ht="15" hidden="false" customHeight="false" outlineLevel="0" collapsed="false">
      <c r="A396" s="0" t="str">
        <f aca="false">IF(Consolidated!B399="","",Consolidated!B399&amp;"|"&amp;TEXT(Consolidated!C399,"yyyymmdd")&amp;"|"&amp;HOUR(Consolidated!D399))</f>
        <v>Auto|20260716|20</v>
      </c>
      <c r="B396" s="0" t="str">
        <f aca="false">IF(Consolidated!B399="","",SUBSTITUTE(SUBSTITUTE(TEXT(Consolidated!D399,"h:mm AM/PM")," AM","a")," PM","p")&amp;IF(Consolidated!E399="",""," "&amp;Consolidated!E399)&amp;IF(Consolidated!H399="",""," "&amp;Consolidated!H399))</f>
        <v>8:00p TSC (All)</v>
      </c>
      <c r="C396" s="0" t="str">
        <f aca="false">IF(Consolidated!B399="","",Consolidated!B399&amp;"|"&amp;TEXT(Consolidated!C399,"yyyymmdd"))</f>
        <v>Auto|20260716</v>
      </c>
      <c r="D396" s="0" t="str">
        <f aca="false">IF(Consolidated!I399="","",Consolidated!I399)</f>
        <v/>
      </c>
    </row>
    <row r="397" customFormat="false" ht="15" hidden="false" customHeight="false" outlineLevel="0" collapsed="false">
      <c r="A397" s="0" t="str">
        <f aca="false">IF(Consolidated!B400="","",Consolidated!B400&amp;"|"&amp;TEXT(Consolidated!C400,"yyyymmdd")&amp;"|"&amp;HOUR(Consolidated!D400))</f>
        <v>BE|20260716|9</v>
      </c>
      <c r="B397" s="0" t="str">
        <f aca="false">IF(Consolidated!B400="","",SUBSTITUTE(SUBSTITUTE(TEXT(Consolidated!D400,"h:mm AM/PM")," AM","a")," PM","p")&amp;IF(Consolidated!E400="",""," "&amp;Consolidated!E400)&amp;IF(Consolidated!H400="",""," "&amp;Consolidated!H400))</f>
        <v>9:15a E-C</v>
      </c>
      <c r="C397" s="0" t="str">
        <f aca="false">IF(Consolidated!B400="","",Consolidated!B400&amp;"|"&amp;TEXT(Consolidated!C400,"yyyymmdd"))</f>
        <v>BE|20260716</v>
      </c>
      <c r="D397" s="0" t="str">
        <f aca="false">IF(Consolidated!I400="","",Consolidated!I400)</f>
        <v/>
      </c>
    </row>
    <row r="398" customFormat="false" ht="15" hidden="false" customHeight="false" outlineLevel="0" collapsed="false">
      <c r="A398" s="0" t="str">
        <f aca="false">IF(Consolidated!B401="","",Consolidated!B401&amp;"|"&amp;TEXT(Consolidated!C401,"yyyymmdd")&amp;"|"&amp;HOUR(Consolidated!D401))</f>
        <v>BE|20260716|11</v>
      </c>
      <c r="B398" s="0" t="str">
        <f aca="false">IF(Consolidated!B401="","",SUBSTITUTE(SUBSTITUTE(TEXT(Consolidated!D401,"h:mm AM/PM")," AM","a")," PM","p")&amp;IF(Consolidated!E401="",""," "&amp;Consolidated!E401)&amp;IF(Consolidated!H401="",""," "&amp;Consolidated!H401))</f>
        <v>11:30a M-P</v>
      </c>
      <c r="C398" s="0" t="str">
        <f aca="false">IF(Consolidated!B401="","",Consolidated!B401&amp;"|"&amp;TEXT(Consolidated!C401,"yyyymmdd"))</f>
        <v>BE|20260716</v>
      </c>
      <c r="D398" s="0" t="str">
        <f aca="false">IF(Consolidated!I401="","",Consolidated!I401)</f>
        <v/>
      </c>
    </row>
    <row r="399" customFormat="false" ht="15" hidden="false" customHeight="false" outlineLevel="0" collapsed="false">
      <c r="A399" s="0" t="str">
        <f aca="false">IF(Consolidated!B402="","",Consolidated!B402&amp;"|"&amp;TEXT(Consolidated!C402,"yyyymmdd")&amp;"|"&amp;HOUR(Consolidated!D402))</f>
        <v>BE|20260716|14</v>
      </c>
      <c r="B399" s="0" t="str">
        <f aca="false">IF(Consolidated!B402="","",SUBSTITUTE(SUBSTITUTE(TEXT(Consolidated!D402,"h:mm AM/PM")," AM","a")," PM","p")&amp;IF(Consolidated!E402="",""," "&amp;Consolidated!E402)&amp;IF(Consolidated!H402="",""," "&amp;Consolidated!H402))</f>
        <v>2:00p WFO</v>
      </c>
      <c r="C399" s="0" t="str">
        <f aca="false">IF(Consolidated!B402="","",Consolidated!B402&amp;"|"&amp;TEXT(Consolidated!C402,"yyyymmdd"))</f>
        <v>BE|20260716</v>
      </c>
      <c r="D399" s="0" t="str">
        <f aca="false">IF(Consolidated!I402="","",Consolidated!I402)</f>
        <v/>
      </c>
    </row>
    <row r="400" customFormat="false" ht="15" hidden="false" customHeight="false" outlineLevel="0" collapsed="false">
      <c r="A400" s="0" t="str">
        <f aca="false">IF(Consolidated!B403="","",Consolidated!B403&amp;"|"&amp;TEXT(Consolidated!C403,"yyyymmdd")&amp;"|"&amp;HOUR(Consolidated!D403))</f>
        <v>BE|20260716|18</v>
      </c>
      <c r="B400" s="0" t="str">
        <f aca="false">IF(Consolidated!B403="","",SUBSTITUTE(SUBSTITUTE(TEXT(Consolidated!D403,"h:mm AM/PM")," AM","a")," PM","p")&amp;IF(Consolidated!E403="",""," "&amp;Consolidated!E403)&amp;IF(Consolidated!H403="",""," "&amp;Consolidated!H403))</f>
        <v>6:00p All</v>
      </c>
      <c r="C400" s="0" t="str">
        <f aca="false">IF(Consolidated!B403="","",Consolidated!B403&amp;"|"&amp;TEXT(Consolidated!C403,"yyyymmdd"))</f>
        <v>BE|20260716</v>
      </c>
      <c r="D400" s="0" t="str">
        <f aca="false">IF(Consolidated!I403="","",Consolidated!I403)</f>
        <v/>
      </c>
    </row>
    <row r="401" customFormat="false" ht="15" hidden="false" customHeight="false" outlineLevel="0" collapsed="false">
      <c r="A401" s="0" t="str">
        <f aca="false">IF(Consolidated!B404="","",Consolidated!B404&amp;"|"&amp;TEXT(Consolidated!C404,"yyyymmdd")&amp;"|"&amp;HOUR(Consolidated!D404))</f>
        <v>BE|20260716|20</v>
      </c>
      <c r="B401" s="0" t="str">
        <f aca="false">IF(Consolidated!B404="","",SUBSTITUTE(SUBSTITUTE(TEXT(Consolidated!D404,"h:mm AM/PM")," AM","a")," PM","p")&amp;IF(Consolidated!E404="",""," "&amp;Consolidated!E404)&amp;IF(Consolidated!H404="",""," "&amp;Consolidated!H404))</f>
        <v>8:00p TSC (All)</v>
      </c>
      <c r="C401" s="0" t="str">
        <f aca="false">IF(Consolidated!B404="","",Consolidated!B404&amp;"|"&amp;TEXT(Consolidated!C404,"yyyymmdd"))</f>
        <v>BE|20260716</v>
      </c>
      <c r="D401" s="0" t="str">
        <f aca="false">IF(Consolidated!I404="","",Consolidated!I404)</f>
        <v/>
      </c>
    </row>
    <row r="402" customFormat="false" ht="15" hidden="false" customHeight="false" outlineLevel="0" collapsed="false">
      <c r="A402" s="0" t="str">
        <f aca="false">IF(Consolidated!B405="","",Consolidated!B405&amp;"|"&amp;TEXT(Consolidated!C405,"yyyymmdd")&amp;"|"&amp;HOUR(Consolidated!D405))</f>
        <v>Branch Central|20260716|12</v>
      </c>
      <c r="B402" s="0" t="str">
        <f aca="false">IF(Consolidated!B405="","",SUBSTITUTE(SUBSTITUTE(TEXT(Consolidated!D405,"h:mm AM/PM")," AM","a")," PM","p")&amp;IF(Consolidated!E405="",""," "&amp;Consolidated!E405)&amp;IF(Consolidated!H405="",""," "&amp;Consolidated!H405))</f>
        <v>12:30p E-C 1s &amp; Slow</v>
      </c>
      <c r="C402" s="0" t="str">
        <f aca="false">IF(Consolidated!B405="","",Consolidated!B405&amp;"|"&amp;TEXT(Consolidated!C405,"yyyymmdd"))</f>
        <v>Branch Central|20260716</v>
      </c>
      <c r="D402" s="0" t="str">
        <f aca="false">IF(Consolidated!I405="","",Consolidated!I405)</f>
        <v/>
      </c>
    </row>
    <row r="403" customFormat="false" ht="15" hidden="false" customHeight="false" outlineLevel="0" collapsed="false">
      <c r="A403" s="0" t="str">
        <f aca="false">IF(Consolidated!B406="","",Consolidated!B406&amp;"|"&amp;TEXT(Consolidated!C406,"yyyymmdd")&amp;"|"&amp;HOUR(Consolidated!D406))</f>
        <v>Branch Vendor|20260716|18</v>
      </c>
      <c r="B403" s="0" t="str">
        <f aca="false">IF(Consolidated!B406="","",SUBSTITUTE(SUBSTITUTE(TEXT(Consolidated!D406,"h:mm AM/PM")," AM","a")," PM","p")&amp;IF(Consolidated!E406="",""," "&amp;Consolidated!E406)&amp;IF(Consolidated!H406="",""," "&amp;Consolidated!H406))</f>
        <v>6:00p Vendor</v>
      </c>
      <c r="C403" s="0" t="str">
        <f aca="false">IF(Consolidated!B406="","",Consolidated!B406&amp;"|"&amp;TEXT(Consolidated!C406,"yyyymmdd"))</f>
        <v>Branch Vendor|20260716</v>
      </c>
      <c r="D403" s="0" t="str">
        <f aca="false">IF(Consolidated!I406="","",Consolidated!I406)</f>
        <v/>
      </c>
    </row>
    <row r="404" customFormat="false" ht="15" hidden="false" customHeight="false" outlineLevel="0" collapsed="false">
      <c r="A404" s="0" t="str">
        <f aca="false">IF(Consolidated!B407="","",Consolidated!B407&amp;"|"&amp;TEXT(Consolidated!C407,"yyyymmdd")&amp;"|"&amp;HOUR(Consolidated!D407))</f>
        <v>Card|20260716|8</v>
      </c>
      <c r="B404" s="0" t="str">
        <f aca="false">IF(Consolidated!B407="","",SUBSTITUTE(SUBSTITUTE(TEXT(Consolidated!D407,"h:mm AM/PM")," AM","a")," PM","p")&amp;IF(Consolidated!E407="",""," "&amp;Consolidated!E407)&amp;IF(Consolidated!H407="",""," "&amp;Consolidated!H407))</f>
        <v>8:00a</v>
      </c>
      <c r="C404" s="0" t="str">
        <f aca="false">IF(Consolidated!B407="","",Consolidated!B407&amp;"|"&amp;TEXT(Consolidated!C407,"yyyymmdd"))</f>
        <v>Card|20260716</v>
      </c>
      <c r="D404" s="0" t="str">
        <f aca="false">IF(Consolidated!I407="","",Consolidated!I407)</f>
        <v/>
      </c>
    </row>
    <row r="405" customFormat="false" ht="15" hidden="false" customHeight="false" outlineLevel="0" collapsed="false">
      <c r="A405" s="0" t="str">
        <f aca="false">IF(Consolidated!B408="","",Consolidated!B408&amp;"|"&amp;TEXT(Consolidated!C408,"yyyymmdd")&amp;"|"&amp;HOUR(Consolidated!D408))</f>
        <v>Card|20260716|12</v>
      </c>
      <c r="B405" s="0" t="str">
        <f aca="false">IF(Consolidated!B408="","",SUBSTITUTE(SUBSTITUTE(TEXT(Consolidated!D408,"h:mm AM/PM")," AM","a")," PM","p")&amp;IF(Consolidated!E408="",""," "&amp;Consolidated!E408)&amp;IF(Consolidated!H408="",""," "&amp;Consolidated!H408))</f>
        <v>12:00p</v>
      </c>
      <c r="C405" s="0" t="str">
        <f aca="false">IF(Consolidated!B408="","",Consolidated!B408&amp;"|"&amp;TEXT(Consolidated!C408,"yyyymmdd"))</f>
        <v>Card|20260716</v>
      </c>
      <c r="D405" s="0" t="str">
        <f aca="false">IF(Consolidated!I408="","",Consolidated!I408)</f>
        <v/>
      </c>
    </row>
    <row r="406" customFormat="false" ht="15" hidden="false" customHeight="false" outlineLevel="0" collapsed="false">
      <c r="A406" s="0" t="str">
        <f aca="false">IF(Consolidated!B409="","",Consolidated!B409&amp;"|"&amp;TEXT(Consolidated!C409,"yyyymmdd")&amp;"|"&amp;HOUR(Consolidated!D409))</f>
        <v>Card|20260716|14</v>
      </c>
      <c r="B406" s="0" t="str">
        <f aca="false">IF(Consolidated!B409="","",SUBSTITUTE(SUBSTITUTE(TEXT(Consolidated!D409,"h:mm AM/PM")," AM","a")," PM","p")&amp;IF(Consolidated!E409="",""," "&amp;Consolidated!E409)&amp;IF(Consolidated!H409="",""," "&amp;Consolidated!H409))</f>
        <v>2:00p ASAP</v>
      </c>
      <c r="C406" s="0" t="str">
        <f aca="false">IF(Consolidated!B409="","",Consolidated!B409&amp;"|"&amp;TEXT(Consolidated!C409,"yyyymmdd"))</f>
        <v>Card|20260716</v>
      </c>
      <c r="D406" s="0" t="str">
        <f aca="false">IF(Consolidated!I409="","",Consolidated!I409)</f>
        <v/>
      </c>
    </row>
    <row r="407" customFormat="false" ht="15" hidden="false" customHeight="false" outlineLevel="0" collapsed="false">
      <c r="A407" s="0" t="str">
        <f aca="false">IF(Consolidated!B410="","",Consolidated!B410&amp;"|"&amp;TEXT(Consolidated!C410,"yyyymmdd")&amp;"|"&amp;HOUR(Consolidated!D410))</f>
        <v>Card|20260716|16</v>
      </c>
      <c r="B407" s="0" t="str">
        <f aca="false">IF(Consolidated!B410="","",SUBSTITUTE(SUBSTITUTE(TEXT(Consolidated!D410,"h:mm AM/PM")," AM","a")," PM","p")&amp;IF(Consolidated!E410="",""," "&amp;Consolidated!E410)&amp;IF(Consolidated!H410="",""," "&amp;Consolidated!H410))</f>
        <v>4:00p ASAP</v>
      </c>
      <c r="C407" s="0" t="str">
        <f aca="false">IF(Consolidated!B410="","",Consolidated!B410&amp;"|"&amp;TEXT(Consolidated!C410,"yyyymmdd"))</f>
        <v>Card|20260716</v>
      </c>
      <c r="D407" s="0" t="str">
        <f aca="false">IF(Consolidated!I410="","",Consolidated!I410)</f>
        <v/>
      </c>
    </row>
    <row r="408" customFormat="false" ht="15" hidden="false" customHeight="false" outlineLevel="0" collapsed="false">
      <c r="A408" s="0" t="str">
        <f aca="false">IF(Consolidated!B411="","",Consolidated!B411&amp;"|"&amp;TEXT(Consolidated!C411,"yyyymmdd")&amp;"|"&amp;HOUR(Consolidated!D411))</f>
        <v>Card|20260716|18</v>
      </c>
      <c r="B408" s="0" t="str">
        <f aca="false">IF(Consolidated!B411="","",SUBSTITUTE(SUBSTITUTE(TEXT(Consolidated!D411,"h:mm AM/PM")," AM","a")," PM","p")&amp;IF(Consolidated!E411="",""," "&amp;Consolidated!E411)&amp;IF(Consolidated!H411="",""," "&amp;Consolidated!H411))</f>
        <v>6:00p ASAP</v>
      </c>
      <c r="C408" s="0" t="str">
        <f aca="false">IF(Consolidated!B411="","",Consolidated!B411&amp;"|"&amp;TEXT(Consolidated!C411,"yyyymmdd"))</f>
        <v>Card|20260716</v>
      </c>
      <c r="D408" s="0" t="str">
        <f aca="false">IF(Consolidated!I411="","",Consolidated!I411)</f>
        <v/>
      </c>
    </row>
    <row r="409" customFormat="false" ht="15" hidden="false" customHeight="false" outlineLevel="0" collapsed="false">
      <c r="A409" s="0" t="str">
        <f aca="false">IF(Consolidated!B412="","",Consolidated!B412&amp;"|"&amp;TEXT(Consolidated!C412,"yyyymmdd")&amp;"|"&amp;HOUR(Consolidated!D412))</f>
        <v>FE|20260716|8</v>
      </c>
      <c r="B409" s="0" t="str">
        <f aca="false">IF(Consolidated!B412="","",SUBSTITUTE(SUBSTITUTE(TEXT(Consolidated!D412,"h:mm AM/PM")," AM","a")," PM","p")&amp;IF(Consolidated!E412="",""," "&amp;Consolidated!E412)&amp;IF(Consolidated!H412="",""," "&amp;Consolidated!H412))</f>
        <v>8:15a E</v>
      </c>
      <c r="C409" s="0" t="str">
        <f aca="false">IF(Consolidated!B412="","",Consolidated!B412&amp;"|"&amp;TEXT(Consolidated!C412,"yyyymmdd"))</f>
        <v>FE|20260716</v>
      </c>
      <c r="D409" s="0" t="str">
        <f aca="false">IF(Consolidated!I412="","",Consolidated!I412)</f>
        <v/>
      </c>
    </row>
    <row r="410" customFormat="false" ht="15" hidden="false" customHeight="false" outlineLevel="0" collapsed="false">
      <c r="A410" s="0" t="str">
        <f aca="false">IF(Consolidated!B413="","",Consolidated!B413&amp;"|"&amp;TEXT(Consolidated!C413,"yyyymmdd")&amp;"|"&amp;HOUR(Consolidated!D413))</f>
        <v>FE|20260716|9</v>
      </c>
      <c r="B410" s="0" t="str">
        <f aca="false">IF(Consolidated!B413="","",SUBSTITUTE(SUBSTITUTE(TEXT(Consolidated!D413,"h:mm AM/PM")," AM","a")," PM","p")&amp;IF(Consolidated!E413="",""," "&amp;Consolidated!E413)&amp;IF(Consolidated!H413="",""," "&amp;Consolidated!H413))</f>
        <v>9:15a C</v>
      </c>
      <c r="C410" s="0" t="str">
        <f aca="false">IF(Consolidated!B413="","",Consolidated!B413&amp;"|"&amp;TEXT(Consolidated!C413,"yyyymmdd"))</f>
        <v>FE|20260716</v>
      </c>
      <c r="D410" s="0" t="str">
        <f aca="false">IF(Consolidated!I413="","",Consolidated!I413)</f>
        <v/>
      </c>
    </row>
    <row r="411" customFormat="false" ht="15" hidden="false" customHeight="false" outlineLevel="0" collapsed="false">
      <c r="A411" s="0" t="str">
        <f aca="false">IF(Consolidated!B414="","",Consolidated!B414&amp;"|"&amp;TEXT(Consolidated!C414,"yyyymmdd")&amp;"|"&amp;HOUR(Consolidated!D414))</f>
        <v>FE|20260716|11</v>
      </c>
      <c r="B411" s="0" t="str">
        <f aca="false">IF(Consolidated!B414="","",SUBSTITUTE(SUBSTITUTE(TEXT(Consolidated!D414,"h:mm AM/PM")," AM","a")," PM","p")&amp;IF(Consolidated!E414="",""," "&amp;Consolidated!E414)&amp;IF(Consolidated!H414="",""," "&amp;Consolidated!H414))</f>
        <v>11:30a M-P</v>
      </c>
      <c r="C411" s="0" t="str">
        <f aca="false">IF(Consolidated!B414="","",Consolidated!B414&amp;"|"&amp;TEXT(Consolidated!C414,"yyyymmdd"))</f>
        <v>FE|20260716</v>
      </c>
      <c r="D411" s="0" t="str">
        <f aca="false">IF(Consolidated!I414="","",Consolidated!I414)</f>
        <v/>
      </c>
    </row>
    <row r="412" customFormat="false" ht="15" hidden="false" customHeight="false" outlineLevel="0" collapsed="false">
      <c r="A412" s="0" t="str">
        <f aca="false">IF(Consolidated!B415="","",Consolidated!B415&amp;"|"&amp;TEXT(Consolidated!C415,"yyyymmdd")&amp;"|"&amp;HOUR(Consolidated!D415))</f>
        <v>FE|20260716|12</v>
      </c>
      <c r="B412" s="0" t="str">
        <f aca="false">IF(Consolidated!B415="","",SUBSTITUTE(SUBSTITUTE(TEXT(Consolidated!D415,"h:mm AM/PM")," AM","a")," PM","p")&amp;IF(Consolidated!E415="",""," "&amp;Consolidated!E415)&amp;IF(Consolidated!H415="",""," "&amp;Consolidated!H415))</f>
        <v>12:30p Branch</v>
      </c>
      <c r="C412" s="0" t="str">
        <f aca="false">IF(Consolidated!B415="","",Consolidated!B415&amp;"|"&amp;TEXT(Consolidated!C415,"yyyymmdd"))</f>
        <v>FE|20260716</v>
      </c>
      <c r="D412" s="0" t="str">
        <f aca="false">IF(Consolidated!I415="","",Consolidated!I415)</f>
        <v/>
      </c>
    </row>
    <row r="413" customFormat="false" ht="15" hidden="false" customHeight="false" outlineLevel="0" collapsed="false">
      <c r="A413" s="0" t="str">
        <f aca="false">IF(Consolidated!B416="","",Consolidated!B416&amp;"|"&amp;TEXT(Consolidated!C416,"yyyymmdd")&amp;"|"&amp;HOUR(Consolidated!D416))</f>
        <v>FE|20260716|14</v>
      </c>
      <c r="B413" s="0" t="str">
        <f aca="false">IF(Consolidated!B416="","",SUBSTITUTE(SUBSTITUTE(TEXT(Consolidated!D416,"h:mm AM/PM")," AM","a")," PM","p")&amp;IF(Consolidated!E416="",""," "&amp;Consolidated!E416)&amp;IF(Consolidated!H416="",""," "&amp;Consolidated!H416))</f>
        <v>2:30p WFO</v>
      </c>
      <c r="C413" s="0" t="str">
        <f aca="false">IF(Consolidated!B416="","",Consolidated!B416&amp;"|"&amp;TEXT(Consolidated!C416,"yyyymmdd"))</f>
        <v>FE|20260716</v>
      </c>
      <c r="D413" s="0" t="str">
        <f aca="false">IF(Consolidated!I416="","",Consolidated!I416)</f>
        <v/>
      </c>
    </row>
    <row r="414" customFormat="false" ht="15" hidden="false" customHeight="false" outlineLevel="0" collapsed="false">
      <c r="A414" s="0" t="str">
        <f aca="false">IF(Consolidated!B417="","",Consolidated!B417&amp;"|"&amp;TEXT(Consolidated!C417,"yyyymmdd")&amp;"|"&amp;HOUR(Consolidated!D417))</f>
        <v>FE|20260716|15</v>
      </c>
      <c r="B414" s="0" t="str">
        <f aca="false">IF(Consolidated!B417="","",SUBSTITUTE(SUBSTITUTE(TEXT(Consolidated!D417,"h:mm AM/PM")," AM","a")," PM","p")&amp;IF(Consolidated!E417="",""," "&amp;Consolidated!E417)&amp;IF(Consolidated!H417="",""," "&amp;Consolidated!H417))</f>
        <v>3:00p All</v>
      </c>
      <c r="C414" s="0" t="str">
        <f aca="false">IF(Consolidated!B417="","",Consolidated!B417&amp;"|"&amp;TEXT(Consolidated!C417,"yyyymmdd"))</f>
        <v>FE|20260716</v>
      </c>
      <c r="D414" s="0" t="str">
        <f aca="false">IF(Consolidated!I417="","",Consolidated!I417)</f>
        <v/>
      </c>
    </row>
    <row r="415" customFormat="false" ht="15" hidden="false" customHeight="false" outlineLevel="0" collapsed="false">
      <c r="A415" s="0" t="str">
        <f aca="false">IF(Consolidated!B418="","",Consolidated!B418&amp;"|"&amp;TEXT(Consolidated!C418,"yyyymmdd")&amp;"|"&amp;HOUR(Consolidated!D418))</f>
        <v>FE|20260716|16</v>
      </c>
      <c r="B415" s="0" t="str">
        <f aca="false">IF(Consolidated!B418="","",SUBSTITUTE(SUBSTITUTE(TEXT(Consolidated!D418,"h:mm AM/PM")," AM","a")," PM","p")&amp;IF(Consolidated!E418="",""," "&amp;Consolidated!E418)&amp;IF(Consolidated!H418="",""," "&amp;Consolidated!H418))</f>
        <v>4:30p All</v>
      </c>
      <c r="C415" s="0" t="str">
        <f aca="false">IF(Consolidated!B418="","",Consolidated!B418&amp;"|"&amp;TEXT(Consolidated!C418,"yyyymmdd"))</f>
        <v>FE|20260716</v>
      </c>
      <c r="D415" s="0" t="str">
        <f aca="false">IF(Consolidated!I418="","",Consolidated!I418)</f>
        <v/>
      </c>
    </row>
    <row r="416" customFormat="false" ht="15" hidden="false" customHeight="false" outlineLevel="0" collapsed="false">
      <c r="A416" s="0" t="str">
        <f aca="false">IF(Consolidated!B419="","",Consolidated!B419&amp;"|"&amp;TEXT(Consolidated!C419,"yyyymmdd")&amp;"|"&amp;HOUR(Consolidated!D419))</f>
        <v>FE|20260716|20</v>
      </c>
      <c r="B416" s="0" t="str">
        <f aca="false">IF(Consolidated!B419="","",SUBSTITUTE(SUBSTITUTE(TEXT(Consolidated!D419,"h:mm AM/PM")," AM","a")," PM","p")&amp;IF(Consolidated!E419="",""," "&amp;Consolidated!E419)&amp;IF(Consolidated!H419="",""," "&amp;Consolidated!H419))</f>
        <v>8:00p TSC (All)</v>
      </c>
      <c r="C416" s="0" t="str">
        <f aca="false">IF(Consolidated!B419="","",Consolidated!B419&amp;"|"&amp;TEXT(Consolidated!C419,"yyyymmdd"))</f>
        <v>FE|20260716</v>
      </c>
      <c r="D416" s="0" t="str">
        <f aca="false">IF(Consolidated!I419="","",Consolidated!I419)</f>
        <v/>
      </c>
    </row>
    <row r="417" customFormat="false" ht="15" hidden="false" customHeight="false" outlineLevel="0" collapsed="false">
      <c r="A417" s="0" t="str">
        <f aca="false">IF(Consolidated!B420="","",Consolidated!B420&amp;"|"&amp;TEXT(Consolidated!C420,"yyyymmdd")&amp;"|"&amp;HOUR(Consolidated!D420))</f>
        <v>MOD|20260716|15</v>
      </c>
      <c r="B417" s="0" t="str">
        <f aca="false">IF(Consolidated!B420="","",SUBSTITUTE(SUBSTITUTE(TEXT(Consolidated!D420,"h:mm AM/PM")," AM","a")," PM","p")&amp;IF(Consolidated!E420="",""," "&amp;Consolidated!E420)&amp;IF(Consolidated!H420="",""," "&amp;Consolidated!H420))</f>
        <v>3:30p All</v>
      </c>
      <c r="C417" s="0" t="str">
        <f aca="false">IF(Consolidated!B420="","",Consolidated!B420&amp;"|"&amp;TEXT(Consolidated!C420,"yyyymmdd"))</f>
        <v>MOD|20260716</v>
      </c>
      <c r="D417" s="0" t="str">
        <f aca="false">IF(Consolidated!I420="","",Consolidated!I420)</f>
        <v>Preview (10 seconds)</v>
      </c>
    </row>
    <row r="418" customFormat="false" ht="15" hidden="false" customHeight="false" outlineLevel="0" collapsed="false">
      <c r="A418" s="0" t="str">
        <f aca="false">IF(Consolidated!B421="","",Consolidated!B421&amp;"|"&amp;TEXT(Consolidated!C421,"yyyymmdd")&amp;"|"&amp;HOUR(Consolidated!D421))</f>
        <v>Optional Products|20260716|0</v>
      </c>
      <c r="B418" s="0" t="str">
        <f aca="false">IF(Consolidated!B421="","",SUBSTITUTE(SUBSTITUTE(TEXT(Consolidated!D421,"h:mm AM/PM")," AM","a")," PM","p")&amp;IF(Consolidated!E421="",""," "&amp;Consolidated!E421)&amp;IF(Consolidated!H421="",""," "&amp;Consolidated!H421))</f>
        <v>12:00a Second</v>
      </c>
      <c r="C418" s="0" t="str">
        <f aca="false">IF(Consolidated!B421="","",Consolidated!B421&amp;"|"&amp;TEXT(Consolidated!C421,"yyyymmdd"))</f>
        <v>Optional Products|20260716</v>
      </c>
      <c r="D418" s="0" t="str">
        <f aca="false">IF(Consolidated!I421="","",Consolidated!I421)</f>
        <v>Priority Order: Second</v>
      </c>
    </row>
    <row r="419" customFormat="false" ht="15" hidden="false" customHeight="false" outlineLevel="0" collapsed="false">
      <c r="A419" s="0" t="str">
        <f aca="false">IF(Consolidated!B422="","",Consolidated!B422&amp;"|"&amp;TEXT(Consolidated!C422,"yyyymmdd")&amp;"|"&amp;HOUR(Consolidated!D422))</f>
        <v>PCO|20260716|8</v>
      </c>
      <c r="B419" s="0" t="str">
        <f aca="false">IF(Consolidated!B422="","",SUBSTITUTE(SUBSTITUTE(TEXT(Consolidated!D422,"h:mm AM/PM")," AM","a")," PM","p")&amp;IF(Consolidated!E422="",""," "&amp;Consolidated!E422)&amp;IF(Consolidated!H422="",""," "&amp;Consolidated!H422))</f>
        <v>8:30a E</v>
      </c>
      <c r="C419" s="0" t="str">
        <f aca="false">IF(Consolidated!B422="","",Consolidated!B422&amp;"|"&amp;TEXT(Consolidated!C422,"yyyymmdd"))</f>
        <v>PCO|20260716</v>
      </c>
      <c r="D419" s="0" t="str">
        <f aca="false">IF(Consolidated!I422="","",Consolidated!I422)</f>
        <v/>
      </c>
    </row>
    <row r="420" customFormat="false" ht="15" hidden="false" customHeight="false" outlineLevel="0" collapsed="false">
      <c r="A420" s="0" t="str">
        <f aca="false">IF(Consolidated!B423="","",Consolidated!B423&amp;"|"&amp;TEXT(Consolidated!C423,"yyyymmdd")&amp;"|"&amp;HOUR(Consolidated!D423))</f>
        <v>PCO|20260716|11</v>
      </c>
      <c r="B420" s="0" t="str">
        <f aca="false">IF(Consolidated!B423="","",SUBSTITUTE(SUBSTITUTE(TEXT(Consolidated!D423,"h:mm AM/PM")," AM","a")," PM","p")&amp;IF(Consolidated!E423="",""," "&amp;Consolidated!E423)&amp;IF(Consolidated!H423="",""," "&amp;Consolidated!H423))</f>
        <v>11:15a C-M-P</v>
      </c>
      <c r="C420" s="0" t="str">
        <f aca="false">IF(Consolidated!B423="","",Consolidated!B423&amp;"|"&amp;TEXT(Consolidated!C423,"yyyymmdd"))</f>
        <v>PCO|20260716</v>
      </c>
      <c r="D420" s="0" t="str">
        <f aca="false">IF(Consolidated!I423="","",Consolidated!I423)</f>
        <v/>
      </c>
    </row>
    <row r="421" customFormat="false" ht="15" hidden="false" customHeight="false" outlineLevel="0" collapsed="false">
      <c r="A421" s="0" t="str">
        <f aca="false">IF(Consolidated!B424="","",Consolidated!B424&amp;"|"&amp;TEXT(Consolidated!C424,"yyyymmdd")&amp;"|"&amp;HOUR(Consolidated!D424))</f>
        <v>PCO|20260716|14</v>
      </c>
      <c r="B421" s="0" t="str">
        <f aca="false">IF(Consolidated!B424="","",SUBSTITUTE(SUBSTITUTE(TEXT(Consolidated!D424,"h:mm AM/PM")," AM","a")," PM","p")&amp;IF(Consolidated!E424="",""," "&amp;Consolidated!E424)&amp;IF(Consolidated!H424="",""," "&amp;Consolidated!H424))</f>
        <v>2:00p WFO</v>
      </c>
      <c r="C421" s="0" t="str">
        <f aca="false">IF(Consolidated!B424="","",Consolidated!B424&amp;"|"&amp;TEXT(Consolidated!C424,"yyyymmdd"))</f>
        <v>PCO|20260716</v>
      </c>
      <c r="D421" s="0" t="str">
        <f aca="false">IF(Consolidated!I424="","",Consolidated!I424)</f>
        <v/>
      </c>
    </row>
    <row r="422" customFormat="false" ht="15" hidden="false" customHeight="false" outlineLevel="0" collapsed="false">
      <c r="A422" s="0" t="str">
        <f aca="false">IF(Consolidated!B425="","",Consolidated!B425&amp;"|"&amp;TEXT(Consolidated!C425,"yyyymmdd")&amp;"|"&amp;HOUR(Consolidated!D425))</f>
        <v>PCO|20260716|16</v>
      </c>
      <c r="B422" s="0" t="str">
        <f aca="false">IF(Consolidated!B425="","",SUBSTITUTE(SUBSTITUTE(TEXT(Consolidated!D425,"h:mm AM/PM")," AM","a")," PM","p")&amp;IF(Consolidated!E425="",""," "&amp;Consolidated!E425)&amp;IF(Consolidated!H425="",""," "&amp;Consolidated!H425))</f>
        <v>4:00p All</v>
      </c>
      <c r="C422" s="0" t="str">
        <f aca="false">IF(Consolidated!B425="","",Consolidated!B425&amp;"|"&amp;TEXT(Consolidated!C425,"yyyymmdd"))</f>
        <v>PCO|20260716</v>
      </c>
      <c r="D422" s="0" t="str">
        <f aca="false">IF(Consolidated!I425="","",Consolidated!I425)</f>
        <v/>
      </c>
    </row>
    <row r="423" customFormat="false" ht="15" hidden="false" customHeight="false" outlineLevel="0" collapsed="false">
      <c r="A423" s="0" t="str">
        <f aca="false">IF(Consolidated!B426="","",Consolidated!B426&amp;"|"&amp;TEXT(Consolidated!C426,"yyyymmdd")&amp;"|"&amp;HOUR(Consolidated!D426))</f>
        <v>PCO|20260716|20</v>
      </c>
      <c r="B423" s="0" t="str">
        <f aca="false">IF(Consolidated!B426="","",SUBSTITUTE(SUBSTITUTE(TEXT(Consolidated!D426,"h:mm AM/PM")," AM","a")," PM","p")&amp;IF(Consolidated!E426="",""," "&amp;Consolidated!E426)&amp;IF(Consolidated!H426="",""," "&amp;Consolidated!H426))</f>
        <v>8:00p TSC (All)</v>
      </c>
      <c r="C423" s="0" t="str">
        <f aca="false">IF(Consolidated!B426="","",Consolidated!B426&amp;"|"&amp;TEXT(Consolidated!C426,"yyyymmdd"))</f>
        <v>PCO|20260716</v>
      </c>
      <c r="D423" s="0" t="str">
        <f aca="false">IF(Consolidated!I426="","",Consolidated!I426)</f>
        <v/>
      </c>
    </row>
    <row r="424" customFormat="false" ht="15" hidden="false" customHeight="false" outlineLevel="0" collapsed="false">
      <c r="A424" s="0" t="str">
        <f aca="false">IF(Consolidated!B427="","",Consolidated!B427&amp;"|"&amp;TEXT(Consolidated!C427,"yyyymmdd")&amp;"|"&amp;HOUR(Consolidated!D427))</f>
        <v>Repo|20260716|9</v>
      </c>
      <c r="B424" s="0" t="str">
        <f aca="false">IF(Consolidated!B427="","",SUBSTITUTE(SUBSTITUTE(TEXT(Consolidated!D427,"h:mm AM/PM")," AM","a")," PM","p")&amp;IF(Consolidated!E427="",""," "&amp;Consolidated!E427)&amp;IF(Consolidated!H427="",""," "&amp;Consolidated!H427))</f>
        <v>9:00a Repo</v>
      </c>
      <c r="C424" s="0" t="str">
        <f aca="false">IF(Consolidated!B427="","",Consolidated!B427&amp;"|"&amp;TEXT(Consolidated!C427,"yyyymmdd"))</f>
        <v>Repo|20260716</v>
      </c>
      <c r="D424" s="0" t="str">
        <f aca="false">IF(Consolidated!I427="","",Consolidated!I427)</f>
        <v>AM Daily</v>
      </c>
    </row>
    <row r="425" customFormat="false" ht="15" hidden="false" customHeight="false" outlineLevel="0" collapsed="false">
      <c r="A425" s="0" t="str">
        <f aca="false">IF(Consolidated!B428="","",Consolidated!B428&amp;"|"&amp;TEXT(Consolidated!C428,"yyyymmdd")&amp;"|"&amp;HOUR(Consolidated!D428))</f>
        <v>Repo|20260716|10</v>
      </c>
      <c r="B425" s="0" t="str">
        <f aca="false">IF(Consolidated!B428="","",SUBSTITUTE(SUBSTITUTE(TEXT(Consolidated!D428,"h:mm AM/PM")," AM","a")," PM","p")&amp;IF(Consolidated!E428="",""," "&amp;Consolidated!E428)&amp;IF(Consolidated!H428="",""," "&amp;Consolidated!H428))</f>
        <v>10:00a RP</v>
      </c>
      <c r="C425" s="0" t="str">
        <f aca="false">IF(Consolidated!B428="","",Consolidated!B428&amp;"|"&amp;TEXT(Consolidated!C428,"yyyymmdd"))</f>
        <v>Repo|20260716</v>
      </c>
      <c r="D425" s="0" t="str">
        <f aca="false">IF(Consolidated!I428="","",Consolidated!I428)</f>
        <v/>
      </c>
    </row>
    <row r="426" customFormat="false" ht="15" hidden="false" customHeight="false" outlineLevel="0" collapsed="false">
      <c r="A426" s="0" t="str">
        <f aca="false">IF(Consolidated!B429="","",Consolidated!B429&amp;"|"&amp;TEXT(Consolidated!C429,"yyyymmdd")&amp;"|"&amp;HOUR(Consolidated!D429))</f>
        <v>Repo|20260716|13</v>
      </c>
      <c r="B426" s="0" t="str">
        <f aca="false">IF(Consolidated!B429="","",SUBSTITUTE(SUBSTITUTE(TEXT(Consolidated!D429,"h:mm AM/PM")," AM","a")," PM","p")&amp;IF(Consolidated!E429="",""," "&amp;Consolidated!E429)&amp;IF(Consolidated!H429="",""," "&amp;Consolidated!H429))</f>
        <v>1:00p Repo</v>
      </c>
      <c r="C426" s="0" t="str">
        <f aca="false">IF(Consolidated!B429="","",Consolidated!B429&amp;"|"&amp;TEXT(Consolidated!C429,"yyyymmdd"))</f>
        <v>Repo|20260716</v>
      </c>
      <c r="D426" s="0" t="str">
        <f aca="false">IF(Consolidated!I429="","",Consolidated!I429)</f>
        <v/>
      </c>
    </row>
    <row r="427" customFormat="false" ht="15" hidden="false" customHeight="false" outlineLevel="0" collapsed="false">
      <c r="A427" s="0" t="str">
        <f aca="false">IF(Consolidated!B430="","",Consolidated!B430&amp;"|"&amp;TEXT(Consolidated!C430,"yyyymmdd")&amp;"|"&amp;HOUR(Consolidated!D430))</f>
        <v>ARC|20260717|15</v>
      </c>
      <c r="B427" s="0" t="str">
        <f aca="false">IF(Consolidated!B430="","",SUBSTITUTE(SUBSTITUTE(TEXT(Consolidated!D430,"h:mm AM/PM")," AM","a")," PM","p")&amp;IF(Consolidated!E430="",""," "&amp;Consolidated!E430)&amp;IF(Consolidated!H430="",""," "&amp;Consolidated!H430))</f>
        <v>3:30p All</v>
      </c>
      <c r="C427" s="0" t="str">
        <f aca="false">IF(Consolidated!B430="","",Consolidated!B430&amp;"|"&amp;TEXT(Consolidated!C430,"yyyymmdd"))</f>
        <v>ARC|20260717</v>
      </c>
      <c r="D427" s="0" t="str">
        <f aca="false">IF(Consolidated!I430="","",Consolidated!I430)</f>
        <v>Broken Promise / Recent Pay / Dialer Only</v>
      </c>
    </row>
    <row r="428" customFormat="false" ht="15" hidden="false" customHeight="false" outlineLevel="0" collapsed="false">
      <c r="A428" s="0" t="str">
        <f aca="false">IF(Consolidated!B431="","",Consolidated!B431&amp;"|"&amp;TEXT(Consolidated!C431,"yyyymmdd")&amp;"|"&amp;HOUR(Consolidated!D431))</f>
        <v>ARC|20260717|10</v>
      </c>
      <c r="B428" s="0" t="str">
        <f aca="false">IF(Consolidated!B431="","",SUBSTITUTE(SUBSTITUTE(TEXT(Consolidated!D431,"h:mm AM/PM")," AM","a")," PM","p")&amp;IF(Consolidated!E431="",""," "&amp;Consolidated!E431)&amp;IF(Consolidated!H431="",""," "&amp;Consolidated!H431))</f>
        <v>10:30a NCs</v>
      </c>
      <c r="C428" s="0" t="str">
        <f aca="false">IF(Consolidated!B431="","",Consolidated!B431&amp;"|"&amp;TEXT(Consolidated!C431,"yyyymmdd"))</f>
        <v>ARC|20260717</v>
      </c>
      <c r="D428" s="0" t="str">
        <f aca="false">IF(Consolidated!I431="","",Consolidated!I431)</f>
        <v>Hit List / APP</v>
      </c>
    </row>
    <row r="429" customFormat="false" ht="15" hidden="false" customHeight="false" outlineLevel="0" collapsed="false">
      <c r="A429" s="0" t="str">
        <f aca="false">IF(Consolidated!B432="","",Consolidated!B432&amp;"|"&amp;TEXT(Consolidated!C432,"yyyymmdd")&amp;"|"&amp;HOUR(Consolidated!D432))</f>
        <v>Auto|20260717|8</v>
      </c>
      <c r="B429" s="0" t="str">
        <f aca="false">IF(Consolidated!B432="","",SUBSTITUTE(SUBSTITUTE(TEXT(Consolidated!D432,"h:mm AM/PM")," AM","a")," PM","p")&amp;IF(Consolidated!E432="",""," "&amp;Consolidated!E432)&amp;IF(Consolidated!H432="",""," "&amp;Consolidated!H432))</f>
        <v>8:15a E AMs</v>
      </c>
      <c r="C429" s="0" t="str">
        <f aca="false">IF(Consolidated!B432="","",Consolidated!B432&amp;"|"&amp;TEXT(Consolidated!C432,"yyyymmdd"))</f>
        <v>Auto|20260717</v>
      </c>
      <c r="D429" s="0" t="str">
        <f aca="false">IF(Consolidated!I432="","",Consolidated!I432)</f>
        <v>Slowpay AM Daily</v>
      </c>
    </row>
    <row r="430" customFormat="false" ht="15" hidden="false" customHeight="false" outlineLevel="0" collapsed="false">
      <c r="A430" s="0" t="str">
        <f aca="false">IF(Consolidated!B433="","",Consolidated!B433&amp;"|"&amp;TEXT(Consolidated!C433,"yyyymmdd")&amp;"|"&amp;HOUR(Consolidated!D433))</f>
        <v>Auto|20260717|11</v>
      </c>
      <c r="B430" s="0" t="str">
        <f aca="false">IF(Consolidated!B433="","",SUBSTITUTE(SUBSTITUTE(TEXT(Consolidated!D433,"h:mm AM/PM")," AM","a")," PM","p")&amp;IF(Consolidated!E433="",""," "&amp;Consolidated!E433)&amp;IF(Consolidated!H433="",""," "&amp;Consolidated!H433))</f>
        <v>11:30a C-M-P AMs</v>
      </c>
      <c r="C430" s="0" t="str">
        <f aca="false">IF(Consolidated!B433="","",Consolidated!B433&amp;"|"&amp;TEXT(Consolidated!C433,"yyyymmdd"))</f>
        <v>Auto|20260717</v>
      </c>
      <c r="D430" s="0" t="str">
        <f aca="false">IF(Consolidated!I433="","",Consolidated!I433)</f>
        <v/>
      </c>
    </row>
    <row r="431" customFormat="false" ht="15" hidden="false" customHeight="false" outlineLevel="0" collapsed="false">
      <c r="A431" s="0" t="str">
        <f aca="false">IF(Consolidated!B434="","",Consolidated!B434&amp;"|"&amp;TEXT(Consolidated!C434,"yyyymmdd")&amp;"|"&amp;HOUR(Consolidated!D434))</f>
        <v>Auto|20260717|13</v>
      </c>
      <c r="B431" s="0" t="str">
        <f aca="false">IF(Consolidated!B434="","",SUBSTITUTE(SUBSTITUTE(TEXT(Consolidated!D434,"h:mm AM/PM")," AM","a")," PM","p")&amp;IF(Consolidated!E434="",""," "&amp;Consolidated!E434)&amp;IF(Consolidated!H434="",""," "&amp;Consolidated!H434))</f>
        <v>1:30p WFO</v>
      </c>
      <c r="C431" s="0" t="str">
        <f aca="false">IF(Consolidated!B434="","",Consolidated!B434&amp;"|"&amp;TEXT(Consolidated!C434,"yyyymmdd"))</f>
        <v>Auto|20260717</v>
      </c>
      <c r="D431" s="0" t="str">
        <f aca="false">IF(Consolidated!I434="","",Consolidated!I434)</f>
        <v/>
      </c>
    </row>
    <row r="432" customFormat="false" ht="15" hidden="false" customHeight="false" outlineLevel="0" collapsed="false">
      <c r="A432" s="0" t="str">
        <f aca="false">IF(Consolidated!B435="","",Consolidated!B435&amp;"|"&amp;TEXT(Consolidated!C435,"yyyymmdd")&amp;"|"&amp;HOUR(Consolidated!D435))</f>
        <v>Auto|20260717|17</v>
      </c>
      <c r="B432" s="0" t="str">
        <f aca="false">IF(Consolidated!B435="","",SUBSTITUTE(SUBSTITUTE(TEXT(Consolidated!D435,"h:mm AM/PM")," AM","a")," PM","p")&amp;IF(Consolidated!E435="",""," "&amp;Consolidated!E435)&amp;IF(Consolidated!H435="",""," "&amp;Consolidated!H435))</f>
        <v>5:00p Blitz</v>
      </c>
      <c r="C432" s="0" t="str">
        <f aca="false">IF(Consolidated!B435="","",Consolidated!B435&amp;"|"&amp;TEXT(Consolidated!C435,"yyyymmdd"))</f>
        <v>Auto|20260717</v>
      </c>
      <c r="D432" s="0" t="str">
        <f aca="false">IF(Consolidated!I435="","",Consolidated!I435)</f>
        <v/>
      </c>
    </row>
    <row r="433" customFormat="false" ht="15" hidden="false" customHeight="false" outlineLevel="0" collapsed="false">
      <c r="A433" s="0" t="str">
        <f aca="false">IF(Consolidated!B436="","",Consolidated!B436&amp;"|"&amp;TEXT(Consolidated!C436,"yyyymmdd")&amp;"|"&amp;HOUR(Consolidated!D436))</f>
        <v>Auto|20260717|20</v>
      </c>
      <c r="B433" s="0" t="str">
        <f aca="false">IF(Consolidated!B436="","",SUBSTITUTE(SUBSTITUTE(TEXT(Consolidated!D436,"h:mm AM/PM")," AM","a")," PM","p")&amp;IF(Consolidated!E436="",""," "&amp;Consolidated!E436)&amp;IF(Consolidated!H436="",""," "&amp;Consolidated!H436))</f>
        <v>8:00p TSC (All)</v>
      </c>
      <c r="C433" s="0" t="str">
        <f aca="false">IF(Consolidated!B436="","",Consolidated!B436&amp;"|"&amp;TEXT(Consolidated!C436,"yyyymmdd"))</f>
        <v>Auto|20260717</v>
      </c>
      <c r="D433" s="0" t="str">
        <f aca="false">IF(Consolidated!I436="","",Consolidated!I436)</f>
        <v/>
      </c>
    </row>
    <row r="434" customFormat="false" ht="15" hidden="false" customHeight="false" outlineLevel="0" collapsed="false">
      <c r="A434" s="0" t="str">
        <f aca="false">IF(Consolidated!B437="","",Consolidated!B437&amp;"|"&amp;TEXT(Consolidated!C437,"yyyymmdd")&amp;"|"&amp;HOUR(Consolidated!D437))</f>
        <v>BE|20260717|8</v>
      </c>
      <c r="B434" s="0" t="str">
        <f aca="false">IF(Consolidated!B437="","",SUBSTITUTE(SUBSTITUTE(TEXT(Consolidated!D437,"h:mm AM/PM")," AM","a")," PM","p")&amp;IF(Consolidated!E437="",""," "&amp;Consolidated!E437)&amp;IF(Consolidated!H437="",""," "&amp;Consolidated!H437))</f>
        <v>8:30a E AMs</v>
      </c>
      <c r="C434" s="0" t="str">
        <f aca="false">IF(Consolidated!B437="","",Consolidated!B437&amp;"|"&amp;TEXT(Consolidated!C437,"yyyymmdd"))</f>
        <v>BE|20260717</v>
      </c>
      <c r="D434" s="0" t="str">
        <f aca="false">IF(Consolidated!I437="","",Consolidated!I437)</f>
        <v/>
      </c>
    </row>
    <row r="435" customFormat="false" ht="15" hidden="false" customHeight="false" outlineLevel="0" collapsed="false">
      <c r="A435" s="0" t="str">
        <f aca="false">IF(Consolidated!B438="","",Consolidated!B438&amp;"|"&amp;TEXT(Consolidated!C438,"yyyymmdd")&amp;"|"&amp;HOUR(Consolidated!D438))</f>
        <v>BE|20260717|11</v>
      </c>
      <c r="B435" s="0" t="str">
        <f aca="false">IF(Consolidated!B438="","",SUBSTITUTE(SUBSTITUTE(TEXT(Consolidated!D438,"h:mm AM/PM")," AM","a")," PM","p")&amp;IF(Consolidated!E438="",""," "&amp;Consolidated!E438)&amp;IF(Consolidated!H438="",""," "&amp;Consolidated!H438))</f>
        <v>11:00a C-M-P AMs</v>
      </c>
      <c r="C435" s="0" t="str">
        <f aca="false">IF(Consolidated!B438="","",Consolidated!B438&amp;"|"&amp;TEXT(Consolidated!C438,"yyyymmdd"))</f>
        <v>BE|20260717</v>
      </c>
      <c r="D435" s="0" t="str">
        <f aca="false">IF(Consolidated!I438="","",Consolidated!I438)</f>
        <v/>
      </c>
    </row>
    <row r="436" customFormat="false" ht="15" hidden="false" customHeight="false" outlineLevel="0" collapsed="false">
      <c r="A436" s="0" t="str">
        <f aca="false">IF(Consolidated!B439="","",Consolidated!B439&amp;"|"&amp;TEXT(Consolidated!C439,"yyyymmdd")&amp;"|"&amp;HOUR(Consolidated!D439))</f>
        <v>BE|20260717|13</v>
      </c>
      <c r="B436" s="0" t="str">
        <f aca="false">IF(Consolidated!B439="","",SUBSTITUTE(SUBSTITUTE(TEXT(Consolidated!D439,"h:mm AM/PM")," AM","a")," PM","p")&amp;IF(Consolidated!E439="",""," "&amp;Consolidated!E439)&amp;IF(Consolidated!H439="",""," "&amp;Consolidated!H439))</f>
        <v>1:00p WFO</v>
      </c>
      <c r="C436" s="0" t="str">
        <f aca="false">IF(Consolidated!B439="","",Consolidated!B439&amp;"|"&amp;TEXT(Consolidated!C439,"yyyymmdd"))</f>
        <v>BE|20260717</v>
      </c>
      <c r="D436" s="0" t="str">
        <f aca="false">IF(Consolidated!I439="","",Consolidated!I439)</f>
        <v/>
      </c>
    </row>
    <row r="437" customFormat="false" ht="15" hidden="false" customHeight="false" outlineLevel="0" collapsed="false">
      <c r="A437" s="0" t="str">
        <f aca="false">IF(Consolidated!B440="","",Consolidated!B440&amp;"|"&amp;TEXT(Consolidated!C440,"yyyymmdd")&amp;"|"&amp;HOUR(Consolidated!D440))</f>
        <v>BE|20260717|17</v>
      </c>
      <c r="B437" s="0" t="str">
        <f aca="false">IF(Consolidated!B440="","",SUBSTITUTE(SUBSTITUTE(TEXT(Consolidated!D440,"h:mm AM/PM")," AM","a")," PM","p")&amp;IF(Consolidated!E440="",""," "&amp;Consolidated!E440)&amp;IF(Consolidated!H440="",""," "&amp;Consolidated!H440))</f>
        <v>5:00p Blitz</v>
      </c>
      <c r="C437" s="0" t="str">
        <f aca="false">IF(Consolidated!B440="","",Consolidated!B440&amp;"|"&amp;TEXT(Consolidated!C440,"yyyymmdd"))</f>
        <v>BE|20260717</v>
      </c>
      <c r="D437" s="0" t="str">
        <f aca="false">IF(Consolidated!I440="","",Consolidated!I440)</f>
        <v/>
      </c>
    </row>
    <row r="438" customFormat="false" ht="15" hidden="false" customHeight="false" outlineLevel="0" collapsed="false">
      <c r="A438" s="0" t="str">
        <f aca="false">IF(Consolidated!B441="","",Consolidated!B441&amp;"|"&amp;TEXT(Consolidated!C441,"yyyymmdd")&amp;"|"&amp;HOUR(Consolidated!D441))</f>
        <v>BE|20260717|20</v>
      </c>
      <c r="B438" s="0" t="str">
        <f aca="false">IF(Consolidated!B441="","",SUBSTITUTE(SUBSTITUTE(TEXT(Consolidated!D441,"h:mm AM/PM")," AM","a")," PM","p")&amp;IF(Consolidated!E441="",""," "&amp;Consolidated!E441)&amp;IF(Consolidated!H441="",""," "&amp;Consolidated!H441))</f>
        <v>8:00p TSC (All)</v>
      </c>
      <c r="C438" s="0" t="str">
        <f aca="false">IF(Consolidated!B441="","",Consolidated!B441&amp;"|"&amp;TEXT(Consolidated!C441,"yyyymmdd"))</f>
        <v>BE|20260717</v>
      </c>
      <c r="D438" s="0" t="str">
        <f aca="false">IF(Consolidated!I441="","",Consolidated!I441)</f>
        <v/>
      </c>
    </row>
    <row r="439" customFormat="false" ht="15" hidden="false" customHeight="false" outlineLevel="0" collapsed="false">
      <c r="A439" s="0" t="str">
        <f aca="false">IF(Consolidated!B442="","",Consolidated!B442&amp;"|"&amp;TEXT(Consolidated!C442,"yyyymmdd")&amp;"|"&amp;HOUR(Consolidated!D442))</f>
        <v>Branch Central|20260717|12</v>
      </c>
      <c r="B439" s="0" t="str">
        <f aca="false">IF(Consolidated!B442="","",SUBSTITUTE(SUBSTITUTE(TEXT(Consolidated!D442,"h:mm AM/PM")," AM","a")," PM","p")&amp;IF(Consolidated!E442="",""," "&amp;Consolidated!E442)&amp;IF(Consolidated!H442="",""," "&amp;Consolidated!H442))</f>
        <v>12:30p E-C 1s &amp; Slow</v>
      </c>
      <c r="C439" s="0" t="str">
        <f aca="false">IF(Consolidated!B442="","",Consolidated!B442&amp;"|"&amp;TEXT(Consolidated!C442,"yyyymmdd"))</f>
        <v>Branch Central|20260717</v>
      </c>
      <c r="D439" s="0" t="str">
        <f aca="false">IF(Consolidated!I442="","",Consolidated!I442)</f>
        <v/>
      </c>
    </row>
    <row r="440" customFormat="false" ht="15" hidden="false" customHeight="false" outlineLevel="0" collapsed="false">
      <c r="A440" s="0" t="str">
        <f aca="false">IF(Consolidated!B443="","",Consolidated!B443&amp;"|"&amp;TEXT(Consolidated!C443,"yyyymmdd")&amp;"|"&amp;HOUR(Consolidated!D443))</f>
        <v>Branch Vendor|20260717|18</v>
      </c>
      <c r="B440" s="0" t="str">
        <f aca="false">IF(Consolidated!B443="","",SUBSTITUTE(SUBSTITUTE(TEXT(Consolidated!D443,"h:mm AM/PM")," AM","a")," PM","p")&amp;IF(Consolidated!E443="",""," "&amp;Consolidated!E443)&amp;IF(Consolidated!H443="",""," "&amp;Consolidated!H443))</f>
        <v>6:00p Vendor</v>
      </c>
      <c r="C440" s="0" t="str">
        <f aca="false">IF(Consolidated!B443="","",Consolidated!B443&amp;"|"&amp;TEXT(Consolidated!C443,"yyyymmdd"))</f>
        <v>Branch Vendor|20260717</v>
      </c>
      <c r="D440" s="0" t="str">
        <f aca="false">IF(Consolidated!I443="","",Consolidated!I443)</f>
        <v/>
      </c>
    </row>
    <row r="441" customFormat="false" ht="15" hidden="false" customHeight="false" outlineLevel="0" collapsed="false">
      <c r="A441" s="0" t="str">
        <f aca="false">IF(Consolidated!B444="","",Consolidated!B444&amp;"|"&amp;TEXT(Consolidated!C444,"yyyymmdd")&amp;"|"&amp;HOUR(Consolidated!D444))</f>
        <v>Card|20260717|8</v>
      </c>
      <c r="B441" s="0" t="str">
        <f aca="false">IF(Consolidated!B444="","",SUBSTITUTE(SUBSTITUTE(TEXT(Consolidated!D444,"h:mm AM/PM")," AM","a")," PM","p")&amp;IF(Consolidated!E444="",""," "&amp;Consolidated!E444)&amp;IF(Consolidated!H444="",""," "&amp;Consolidated!H444))</f>
        <v>8:00a</v>
      </c>
      <c r="C441" s="0" t="str">
        <f aca="false">IF(Consolidated!B444="","",Consolidated!B444&amp;"|"&amp;TEXT(Consolidated!C444,"yyyymmdd"))</f>
        <v>Card|20260717</v>
      </c>
      <c r="D441" s="0" t="str">
        <f aca="false">IF(Consolidated!I444="","",Consolidated!I444)</f>
        <v/>
      </c>
    </row>
    <row r="442" customFormat="false" ht="15" hidden="false" customHeight="false" outlineLevel="0" collapsed="false">
      <c r="A442" s="0" t="str">
        <f aca="false">IF(Consolidated!B445="","",Consolidated!B445&amp;"|"&amp;TEXT(Consolidated!C445,"yyyymmdd")&amp;"|"&amp;HOUR(Consolidated!D445))</f>
        <v>Card|20260717|12</v>
      </c>
      <c r="B442" s="0" t="str">
        <f aca="false">IF(Consolidated!B445="","",SUBSTITUTE(SUBSTITUTE(TEXT(Consolidated!D445,"h:mm AM/PM")," AM","a")," PM","p")&amp;IF(Consolidated!E445="",""," "&amp;Consolidated!E445)&amp;IF(Consolidated!H445="",""," "&amp;Consolidated!H445))</f>
        <v>12:00p</v>
      </c>
      <c r="C442" s="0" t="str">
        <f aca="false">IF(Consolidated!B445="","",Consolidated!B445&amp;"|"&amp;TEXT(Consolidated!C445,"yyyymmdd"))</f>
        <v>Card|20260717</v>
      </c>
      <c r="D442" s="0" t="str">
        <f aca="false">IF(Consolidated!I445="","",Consolidated!I445)</f>
        <v/>
      </c>
    </row>
    <row r="443" customFormat="false" ht="15" hidden="false" customHeight="false" outlineLevel="0" collapsed="false">
      <c r="A443" s="0" t="str">
        <f aca="false">IF(Consolidated!B446="","",Consolidated!B446&amp;"|"&amp;TEXT(Consolidated!C446,"yyyymmdd")&amp;"|"&amp;HOUR(Consolidated!D446))</f>
        <v>Card|20260717|14</v>
      </c>
      <c r="B443" s="0" t="str">
        <f aca="false">IF(Consolidated!B446="","",SUBSTITUTE(SUBSTITUTE(TEXT(Consolidated!D446,"h:mm AM/PM")," AM","a")," PM","p")&amp;IF(Consolidated!E446="",""," "&amp;Consolidated!E446)&amp;IF(Consolidated!H446="",""," "&amp;Consolidated!H446))</f>
        <v>2:00p ASAP</v>
      </c>
      <c r="C443" s="0" t="str">
        <f aca="false">IF(Consolidated!B446="","",Consolidated!B446&amp;"|"&amp;TEXT(Consolidated!C446,"yyyymmdd"))</f>
        <v>Card|20260717</v>
      </c>
      <c r="D443" s="0" t="str">
        <f aca="false">IF(Consolidated!I446="","",Consolidated!I446)</f>
        <v/>
      </c>
    </row>
    <row r="444" customFormat="false" ht="15" hidden="false" customHeight="false" outlineLevel="0" collapsed="false">
      <c r="A444" s="0" t="str">
        <f aca="false">IF(Consolidated!B447="","",Consolidated!B447&amp;"|"&amp;TEXT(Consolidated!C447,"yyyymmdd")&amp;"|"&amp;HOUR(Consolidated!D447))</f>
        <v>Card|20260717|16</v>
      </c>
      <c r="B444" s="0" t="str">
        <f aca="false">IF(Consolidated!B447="","",SUBSTITUTE(SUBSTITUTE(TEXT(Consolidated!D447,"h:mm AM/PM")," AM","a")," PM","p")&amp;IF(Consolidated!E447="",""," "&amp;Consolidated!E447)&amp;IF(Consolidated!H447="",""," "&amp;Consolidated!H447))</f>
        <v>4:00p ASAP</v>
      </c>
      <c r="C444" s="0" t="str">
        <f aca="false">IF(Consolidated!B447="","",Consolidated!B447&amp;"|"&amp;TEXT(Consolidated!C447,"yyyymmdd"))</f>
        <v>Card|20260717</v>
      </c>
      <c r="D444" s="0" t="str">
        <f aca="false">IF(Consolidated!I447="","",Consolidated!I447)</f>
        <v/>
      </c>
    </row>
    <row r="445" customFormat="false" ht="15" hidden="false" customHeight="false" outlineLevel="0" collapsed="false">
      <c r="A445" s="0" t="str">
        <f aca="false">IF(Consolidated!B448="","",Consolidated!B448&amp;"|"&amp;TEXT(Consolidated!C448,"yyyymmdd")&amp;"|"&amp;HOUR(Consolidated!D448))</f>
        <v>Card|20260717|18</v>
      </c>
      <c r="B445" s="0" t="str">
        <f aca="false">IF(Consolidated!B448="","",SUBSTITUTE(SUBSTITUTE(TEXT(Consolidated!D448,"h:mm AM/PM")," AM","a")," PM","p")&amp;IF(Consolidated!E448="",""," "&amp;Consolidated!E448)&amp;IF(Consolidated!H448="",""," "&amp;Consolidated!H448))</f>
        <v>6:00p ASAP</v>
      </c>
      <c r="C445" s="0" t="str">
        <f aca="false">IF(Consolidated!B448="","",Consolidated!B448&amp;"|"&amp;TEXT(Consolidated!C448,"yyyymmdd"))</f>
        <v>Card|20260717</v>
      </c>
      <c r="D445" s="0" t="str">
        <f aca="false">IF(Consolidated!I448="","",Consolidated!I448)</f>
        <v/>
      </c>
    </row>
    <row r="446" customFormat="false" ht="15" hidden="false" customHeight="false" outlineLevel="0" collapsed="false">
      <c r="A446" s="0" t="str">
        <f aca="false">IF(Consolidated!B449="","",Consolidated!B449&amp;"|"&amp;TEXT(Consolidated!C449,"yyyymmdd")&amp;"|"&amp;HOUR(Consolidated!D449))</f>
        <v>FE|20260717|8</v>
      </c>
      <c r="B446" s="0" t="str">
        <f aca="false">IF(Consolidated!B449="","",SUBSTITUTE(SUBSTITUTE(TEXT(Consolidated!D449,"h:mm AM/PM")," AM","a")," PM","p")&amp;IF(Consolidated!E449="",""," "&amp;Consolidated!E449)&amp;IF(Consolidated!H449="",""," "&amp;Consolidated!H449))</f>
        <v>8:30a E AMs</v>
      </c>
      <c r="C446" s="0" t="str">
        <f aca="false">IF(Consolidated!B449="","",Consolidated!B449&amp;"|"&amp;TEXT(Consolidated!C449,"yyyymmdd"))</f>
        <v>FE|20260717</v>
      </c>
      <c r="D446" s="0" t="str">
        <f aca="false">IF(Consolidated!I449="","",Consolidated!I449)</f>
        <v/>
      </c>
    </row>
    <row r="447" customFormat="false" ht="15" hidden="false" customHeight="false" outlineLevel="0" collapsed="false">
      <c r="A447" s="0" t="str">
        <f aca="false">IF(Consolidated!B450="","",Consolidated!B450&amp;"|"&amp;TEXT(Consolidated!C450,"yyyymmdd")&amp;"|"&amp;HOUR(Consolidated!D450))</f>
        <v>FE|20260717|11</v>
      </c>
      <c r="B447" s="0" t="str">
        <f aca="false">IF(Consolidated!B450="","",SUBSTITUTE(SUBSTITUTE(TEXT(Consolidated!D450,"h:mm AM/PM")," AM","a")," PM","p")&amp;IF(Consolidated!E450="",""," "&amp;Consolidated!E450)&amp;IF(Consolidated!H450="",""," "&amp;Consolidated!H450))</f>
        <v>11:00a C-M-P AMs</v>
      </c>
      <c r="C447" s="0" t="str">
        <f aca="false">IF(Consolidated!B450="","",Consolidated!B450&amp;"|"&amp;TEXT(Consolidated!C450,"yyyymmdd"))</f>
        <v>FE|20260717</v>
      </c>
      <c r="D447" s="0" t="str">
        <f aca="false">IF(Consolidated!I450="","",Consolidated!I450)</f>
        <v/>
      </c>
    </row>
    <row r="448" customFormat="false" ht="15" hidden="false" customHeight="false" outlineLevel="0" collapsed="false">
      <c r="A448" s="0" t="str">
        <f aca="false">IF(Consolidated!B451="","",Consolidated!B451&amp;"|"&amp;TEXT(Consolidated!C451,"yyyymmdd")&amp;"|"&amp;HOUR(Consolidated!D451))</f>
        <v>FE|20260717|12</v>
      </c>
      <c r="B448" s="0" t="str">
        <f aca="false">IF(Consolidated!B451="","",SUBSTITUTE(SUBSTITUTE(TEXT(Consolidated!D451,"h:mm AM/PM")," AM","a")," PM","p")&amp;IF(Consolidated!E451="",""," "&amp;Consolidated!E451)&amp;IF(Consolidated!H451="",""," "&amp;Consolidated!H451))</f>
        <v>12:30p Branch</v>
      </c>
      <c r="C448" s="0" t="str">
        <f aca="false">IF(Consolidated!B451="","",Consolidated!B451&amp;"|"&amp;TEXT(Consolidated!C451,"yyyymmdd"))</f>
        <v>FE|20260717</v>
      </c>
      <c r="D448" s="0" t="str">
        <f aca="false">IF(Consolidated!I451="","",Consolidated!I451)</f>
        <v/>
      </c>
    </row>
    <row r="449" customFormat="false" ht="15" hidden="false" customHeight="false" outlineLevel="0" collapsed="false">
      <c r="A449" s="0" t="str">
        <f aca="false">IF(Consolidated!B452="","",Consolidated!B452&amp;"|"&amp;TEXT(Consolidated!C452,"yyyymmdd")&amp;"|"&amp;HOUR(Consolidated!D452))</f>
        <v>FE|20260717|13</v>
      </c>
      <c r="B449" s="0" t="str">
        <f aca="false">IF(Consolidated!B452="","",SUBSTITUTE(SUBSTITUTE(TEXT(Consolidated!D452,"h:mm AM/PM")," AM","a")," PM","p")&amp;IF(Consolidated!E452="",""," "&amp;Consolidated!E452)&amp;IF(Consolidated!H452="",""," "&amp;Consolidated!H452))</f>
        <v>1:30p WFO</v>
      </c>
      <c r="C449" s="0" t="str">
        <f aca="false">IF(Consolidated!B452="","",Consolidated!B452&amp;"|"&amp;TEXT(Consolidated!C452,"yyyymmdd"))</f>
        <v>FE|20260717</v>
      </c>
      <c r="D449" s="0" t="str">
        <f aca="false">IF(Consolidated!I452="","",Consolidated!I452)</f>
        <v/>
      </c>
    </row>
    <row r="450" customFormat="false" ht="15" hidden="false" customHeight="false" outlineLevel="0" collapsed="false">
      <c r="A450" s="0" t="str">
        <f aca="false">IF(Consolidated!B453="","",Consolidated!B453&amp;"|"&amp;TEXT(Consolidated!C453,"yyyymmdd")&amp;"|"&amp;HOUR(Consolidated!D453))</f>
        <v>FE|20260717|17</v>
      </c>
      <c r="B450" s="0" t="str">
        <f aca="false">IF(Consolidated!B453="","",SUBSTITUTE(SUBSTITUTE(TEXT(Consolidated!D453,"h:mm AM/PM")," AM","a")," PM","p")&amp;IF(Consolidated!E453="",""," "&amp;Consolidated!E453)&amp;IF(Consolidated!H453="",""," "&amp;Consolidated!H453))</f>
        <v>5:00p Blitz</v>
      </c>
      <c r="C450" s="0" t="str">
        <f aca="false">IF(Consolidated!B453="","",Consolidated!B453&amp;"|"&amp;TEXT(Consolidated!C453,"yyyymmdd"))</f>
        <v>FE|20260717</v>
      </c>
      <c r="D450" s="0" t="str">
        <f aca="false">IF(Consolidated!I453="","",Consolidated!I453)</f>
        <v/>
      </c>
    </row>
    <row r="451" customFormat="false" ht="15" hidden="false" customHeight="false" outlineLevel="0" collapsed="false">
      <c r="A451" s="0" t="str">
        <f aca="false">IF(Consolidated!B454="","",Consolidated!B454&amp;"|"&amp;TEXT(Consolidated!C454,"yyyymmdd")&amp;"|"&amp;HOUR(Consolidated!D454))</f>
        <v>FE|20260717|20</v>
      </c>
      <c r="B451" s="0" t="str">
        <f aca="false">IF(Consolidated!B454="","",SUBSTITUTE(SUBSTITUTE(TEXT(Consolidated!D454,"h:mm AM/PM")," AM","a")," PM","p")&amp;IF(Consolidated!E454="",""," "&amp;Consolidated!E454)&amp;IF(Consolidated!H454="",""," "&amp;Consolidated!H454))</f>
        <v>8:00p TSC (All)</v>
      </c>
      <c r="C451" s="0" t="str">
        <f aca="false">IF(Consolidated!B454="","",Consolidated!B454&amp;"|"&amp;TEXT(Consolidated!C454,"yyyymmdd"))</f>
        <v>FE|20260717</v>
      </c>
      <c r="D451" s="0" t="str">
        <f aca="false">IF(Consolidated!I454="","",Consolidated!I454)</f>
        <v/>
      </c>
    </row>
    <row r="452" customFormat="false" ht="15" hidden="false" customHeight="false" outlineLevel="0" collapsed="false">
      <c r="A452" s="0" t="str">
        <f aca="false">IF(Consolidated!B455="","",Consolidated!B455&amp;"|"&amp;TEXT(Consolidated!C455,"yyyymmdd")&amp;"|"&amp;HOUR(Consolidated!D455))</f>
        <v>Optional Products|20260717|0</v>
      </c>
      <c r="B452" s="0" t="str">
        <f aca="false">IF(Consolidated!B455="","",SUBSTITUTE(SUBSTITUTE(TEXT(Consolidated!D455,"h:mm AM/PM")," AM","a")," PM","p")&amp;IF(Consolidated!E455="",""," "&amp;Consolidated!E455)&amp;IF(Consolidated!H455="",""," "&amp;Consolidated!H455))</f>
        <v>12:00a Second/Third</v>
      </c>
      <c r="C452" s="0" t="str">
        <f aca="false">IF(Consolidated!B455="","",Consolidated!B455&amp;"|"&amp;TEXT(Consolidated!C455,"yyyymmdd"))</f>
        <v>Optional Products|20260717</v>
      </c>
      <c r="D452" s="0" t="str">
        <f aca="false">IF(Consolidated!I455="","",Consolidated!I455)</f>
        <v>Priority Order: Second/Third</v>
      </c>
    </row>
    <row r="453" customFormat="false" ht="15" hidden="false" customHeight="false" outlineLevel="0" collapsed="false">
      <c r="A453" s="0" t="str">
        <f aca="false">IF(Consolidated!B456="","",Consolidated!B456&amp;"|"&amp;TEXT(Consolidated!C456,"yyyymmdd")&amp;"|"&amp;HOUR(Consolidated!D456))</f>
        <v>PCO|20260717|9</v>
      </c>
      <c r="B453" s="0" t="str">
        <f aca="false">IF(Consolidated!B456="","",SUBSTITUTE(SUBSTITUTE(TEXT(Consolidated!D456,"h:mm AM/PM")," AM","a")," PM","p")&amp;IF(Consolidated!E456="",""," "&amp;Consolidated!E456)&amp;IF(Consolidated!H456="",""," "&amp;Consolidated!H456))</f>
        <v>9:00a E-C AMs</v>
      </c>
      <c r="C453" s="0" t="str">
        <f aca="false">IF(Consolidated!B456="","",Consolidated!B456&amp;"|"&amp;TEXT(Consolidated!C456,"yyyymmdd"))</f>
        <v>PCO|20260717</v>
      </c>
      <c r="D453" s="0" t="str">
        <f aca="false">IF(Consolidated!I456="","",Consolidated!I456)</f>
        <v/>
      </c>
    </row>
    <row r="454" customFormat="false" ht="15" hidden="false" customHeight="false" outlineLevel="0" collapsed="false">
      <c r="A454" s="0" t="str">
        <f aca="false">IF(Consolidated!B457="","",Consolidated!B457&amp;"|"&amp;TEXT(Consolidated!C457,"yyyymmdd")&amp;"|"&amp;HOUR(Consolidated!D457))</f>
        <v>PCO|20260717|11</v>
      </c>
      <c r="B454" s="0" t="str">
        <f aca="false">IF(Consolidated!B457="","",SUBSTITUTE(SUBSTITUTE(TEXT(Consolidated!D457,"h:mm AM/PM")," AM","a")," PM","p")&amp;IF(Consolidated!E457="",""," "&amp;Consolidated!E457)&amp;IF(Consolidated!H457="",""," "&amp;Consolidated!H457))</f>
        <v>11:15a M-P AMs</v>
      </c>
      <c r="C454" s="0" t="str">
        <f aca="false">IF(Consolidated!B457="","",Consolidated!B457&amp;"|"&amp;TEXT(Consolidated!C457,"yyyymmdd"))</f>
        <v>PCO|20260717</v>
      </c>
      <c r="D454" s="0" t="str">
        <f aca="false">IF(Consolidated!I457="","",Consolidated!I457)</f>
        <v/>
      </c>
    </row>
    <row r="455" customFormat="false" ht="15" hidden="false" customHeight="false" outlineLevel="0" collapsed="false">
      <c r="A455" s="0" t="str">
        <f aca="false">IF(Consolidated!B458="","",Consolidated!B458&amp;"|"&amp;TEXT(Consolidated!C458,"yyyymmdd")&amp;"|"&amp;HOUR(Consolidated!D458))</f>
        <v>PCO|20260717|13</v>
      </c>
      <c r="B455" s="0" t="str">
        <f aca="false">IF(Consolidated!B458="","",SUBSTITUTE(SUBSTITUTE(TEXT(Consolidated!D458,"h:mm AM/PM")," AM","a")," PM","p")&amp;IF(Consolidated!E458="",""," "&amp;Consolidated!E458)&amp;IF(Consolidated!H458="",""," "&amp;Consolidated!H458))</f>
        <v>1:00p WFO</v>
      </c>
      <c r="C455" s="0" t="str">
        <f aca="false">IF(Consolidated!B458="","",Consolidated!B458&amp;"|"&amp;TEXT(Consolidated!C458,"yyyymmdd"))</f>
        <v>PCO|20260717</v>
      </c>
      <c r="D455" s="0" t="str">
        <f aca="false">IF(Consolidated!I458="","",Consolidated!I458)</f>
        <v/>
      </c>
    </row>
    <row r="456" customFormat="false" ht="15" hidden="false" customHeight="false" outlineLevel="0" collapsed="false">
      <c r="A456" s="0" t="str">
        <f aca="false">IF(Consolidated!B459="","",Consolidated!B459&amp;"|"&amp;TEXT(Consolidated!C459,"yyyymmdd")&amp;"|"&amp;HOUR(Consolidated!D459))</f>
        <v>PCO|20260717|17</v>
      </c>
      <c r="B456" s="0" t="str">
        <f aca="false">IF(Consolidated!B459="","",SUBSTITUTE(SUBSTITUTE(TEXT(Consolidated!D459,"h:mm AM/PM")," AM","a")," PM","p")&amp;IF(Consolidated!E459="",""," "&amp;Consolidated!E459)&amp;IF(Consolidated!H459="",""," "&amp;Consolidated!H459))</f>
        <v>5:00p Blitz</v>
      </c>
      <c r="C456" s="0" t="str">
        <f aca="false">IF(Consolidated!B459="","",Consolidated!B459&amp;"|"&amp;TEXT(Consolidated!C459,"yyyymmdd"))</f>
        <v>PCO|20260717</v>
      </c>
      <c r="D456" s="0" t="str">
        <f aca="false">IF(Consolidated!I459="","",Consolidated!I459)</f>
        <v/>
      </c>
    </row>
    <row r="457" customFormat="false" ht="15" hidden="false" customHeight="false" outlineLevel="0" collapsed="false">
      <c r="A457" s="0" t="str">
        <f aca="false">IF(Consolidated!B460="","",Consolidated!B460&amp;"|"&amp;TEXT(Consolidated!C460,"yyyymmdd")&amp;"|"&amp;HOUR(Consolidated!D460))</f>
        <v>PCO|20260717|20</v>
      </c>
      <c r="B457" s="0" t="str">
        <f aca="false">IF(Consolidated!B460="","",SUBSTITUTE(SUBSTITUTE(TEXT(Consolidated!D460,"h:mm AM/PM")," AM","a")," PM","p")&amp;IF(Consolidated!E460="",""," "&amp;Consolidated!E460)&amp;IF(Consolidated!H460="",""," "&amp;Consolidated!H460))</f>
        <v>8:00p TSC (All)</v>
      </c>
      <c r="C457" s="0" t="str">
        <f aca="false">IF(Consolidated!B460="","",Consolidated!B460&amp;"|"&amp;TEXT(Consolidated!C460,"yyyymmdd"))</f>
        <v>PCO|20260717</v>
      </c>
      <c r="D457" s="0" t="str">
        <f aca="false">IF(Consolidated!I460="","",Consolidated!I460)</f>
        <v/>
      </c>
    </row>
    <row r="458" customFormat="false" ht="15" hidden="false" customHeight="false" outlineLevel="0" collapsed="false">
      <c r="A458" s="0" t="str">
        <f aca="false">IF(Consolidated!B461="","",Consolidated!B461&amp;"|"&amp;TEXT(Consolidated!C461,"yyyymmdd")&amp;"|"&amp;HOUR(Consolidated!D461))</f>
        <v>Repo|20260717|8</v>
      </c>
      <c r="B458" s="0" t="str">
        <f aca="false">IF(Consolidated!B461="","",SUBSTITUTE(SUBSTITUTE(TEXT(Consolidated!D461,"h:mm AM/PM")," AM","a")," PM","p")&amp;IF(Consolidated!E461="",""," "&amp;Consolidated!E461)&amp;IF(Consolidated!H461="",""," "&amp;Consolidated!H461))</f>
        <v>8:15a Repo</v>
      </c>
      <c r="C458" s="0" t="str">
        <f aca="false">IF(Consolidated!B461="","",Consolidated!B461&amp;"|"&amp;TEXT(Consolidated!C461,"yyyymmdd"))</f>
        <v>Repo|20260717</v>
      </c>
      <c r="D458" s="0" t="str">
        <f aca="false">IF(Consolidated!I461="","",Consolidated!I461)</f>
        <v>AM Daily</v>
      </c>
    </row>
    <row r="459" customFormat="false" ht="15" hidden="false" customHeight="false" outlineLevel="0" collapsed="false">
      <c r="A459" s="0" t="str">
        <f aca="false">IF(Consolidated!B462="","",Consolidated!B462&amp;"|"&amp;TEXT(Consolidated!C462,"yyyymmdd")&amp;"|"&amp;HOUR(Consolidated!D462))</f>
        <v>Repo|20260717|10</v>
      </c>
      <c r="B459" s="0" t="str">
        <f aca="false">IF(Consolidated!B462="","",SUBSTITUTE(SUBSTITUTE(TEXT(Consolidated!D462,"h:mm AM/PM")," AM","a")," PM","p")&amp;IF(Consolidated!E462="",""," "&amp;Consolidated!E462)&amp;IF(Consolidated!H462="",""," "&amp;Consolidated!H462))</f>
        <v>10:00a Repo</v>
      </c>
      <c r="C459" s="0" t="str">
        <f aca="false">IF(Consolidated!B462="","",Consolidated!B462&amp;"|"&amp;TEXT(Consolidated!C462,"yyyymmdd"))</f>
        <v>Repo|20260717</v>
      </c>
      <c r="D459" s="0" t="str">
        <f aca="false">IF(Consolidated!I462="","",Consolidated!I462)</f>
        <v/>
      </c>
    </row>
    <row r="460" customFormat="false" ht="15" hidden="false" customHeight="false" outlineLevel="0" collapsed="false">
      <c r="A460" s="0" t="str">
        <f aca="false">IF(Consolidated!B463="","",Consolidated!B463&amp;"|"&amp;TEXT(Consolidated!C463,"yyyymmdd")&amp;"|"&amp;HOUR(Consolidated!D463))</f>
        <v>Repo|20260717|13</v>
      </c>
      <c r="B460" s="0" t="str">
        <f aca="false">IF(Consolidated!B463="","",SUBSTITUTE(SUBSTITUTE(TEXT(Consolidated!D463,"h:mm AM/PM")," AM","a")," PM","p")&amp;IF(Consolidated!E463="",""," "&amp;Consolidated!E463)&amp;IF(Consolidated!H463="",""," "&amp;Consolidated!H463))</f>
        <v>1:00p RP</v>
      </c>
      <c r="C460" s="0" t="str">
        <f aca="false">IF(Consolidated!B463="","",Consolidated!B463&amp;"|"&amp;TEXT(Consolidated!C463,"yyyymmdd"))</f>
        <v>Repo|20260717</v>
      </c>
      <c r="D460" s="0" t="str">
        <f aca="false">IF(Consolidated!I463="","",Consolidated!I463)</f>
        <v/>
      </c>
    </row>
    <row r="461" customFormat="false" ht="15" hidden="false" customHeight="false" outlineLevel="0" collapsed="false">
      <c r="A461" s="0" t="str">
        <f aca="false">IF(Consolidated!B464="","",Consolidated!B464&amp;"|"&amp;TEXT(Consolidated!C464,"yyyymmdd")&amp;"|"&amp;HOUR(Consolidated!D464))</f>
        <v>Repo|20260717|14</v>
      </c>
      <c r="B461" s="0" t="str">
        <f aca="false">IF(Consolidated!B464="","",SUBSTITUTE(SUBSTITUTE(TEXT(Consolidated!D464,"h:mm AM/PM")," AM","a")," PM","p")&amp;IF(Consolidated!E464="",""," "&amp;Consolidated!E464)&amp;IF(Consolidated!H464="",""," "&amp;Consolidated!H464))</f>
        <v>2:00p Repo</v>
      </c>
      <c r="C461" s="0" t="str">
        <f aca="false">IF(Consolidated!B464="","",Consolidated!B464&amp;"|"&amp;TEXT(Consolidated!C464,"yyyymmdd"))</f>
        <v>Repo|20260717</v>
      </c>
      <c r="D461" s="0" t="str">
        <f aca="false">IF(Consolidated!I464="","",Consolidated!I464)</f>
        <v/>
      </c>
    </row>
    <row r="462" customFormat="false" ht="15" hidden="false" customHeight="false" outlineLevel="0" collapsed="false">
      <c r="A462" s="0" t="str">
        <f aca="false">IF(Consolidated!B465="","",Consolidated!B465&amp;"|"&amp;TEXT(Consolidated!C465,"yyyymmdd")&amp;"|"&amp;HOUR(Consolidated!D465))</f>
        <v>ARC|20260718|11</v>
      </c>
      <c r="B462" s="0" t="str">
        <f aca="false">IF(Consolidated!B465="","",SUBSTITUTE(SUBSTITUTE(TEXT(Consolidated!D465,"h:mm AM/PM")," AM","a")," PM","p")&amp;IF(Consolidated!E465="",""," "&amp;Consolidated!E465)&amp;IF(Consolidated!H465="",""," "&amp;Consolidated!H465))</f>
        <v>11:00a NCs</v>
      </c>
      <c r="C462" s="0" t="str">
        <f aca="false">IF(Consolidated!B465="","",Consolidated!B465&amp;"|"&amp;TEXT(Consolidated!C465,"yyyymmdd"))</f>
        <v>ARC|20260718</v>
      </c>
      <c r="D462" s="0" t="str">
        <f aca="false">IF(Consolidated!I465="","",Consolidated!I465)</f>
        <v>Preplacement / Strat 2</v>
      </c>
    </row>
    <row r="463" customFormat="false" ht="15" hidden="false" customHeight="false" outlineLevel="0" collapsed="false">
      <c r="A463" s="0" t="str">
        <f aca="false">IF(Consolidated!B466="","",Consolidated!B466&amp;"|"&amp;TEXT(Consolidated!C466,"yyyymmdd")&amp;"|"&amp;HOUR(Consolidated!D466))</f>
        <v>Auto|20260718|10</v>
      </c>
      <c r="B463" s="0" t="str">
        <f aca="false">IF(Consolidated!B466="","",SUBSTITUTE(SUBSTITUTE(TEXT(Consolidated!D466,"h:mm AM/PM")," AM","a")," PM","p")&amp;IF(Consolidated!E466="",""," "&amp;Consolidated!E466)&amp;IF(Consolidated!H466="",""," "&amp;Consolidated!H466))</f>
        <v>10:00a Blitz</v>
      </c>
      <c r="C463" s="0" t="str">
        <f aca="false">IF(Consolidated!B466="","",Consolidated!B466&amp;"|"&amp;TEXT(Consolidated!C466,"yyyymmdd"))</f>
        <v>Auto|20260718</v>
      </c>
      <c r="D463" s="0" t="str">
        <f aca="false">IF(Consolidated!I466="","",Consolidated!I466)</f>
        <v/>
      </c>
    </row>
    <row r="464" customFormat="false" ht="15" hidden="false" customHeight="false" outlineLevel="0" collapsed="false">
      <c r="A464" s="0" t="str">
        <f aca="false">IF(Consolidated!B467="","",Consolidated!B467&amp;"|"&amp;TEXT(Consolidated!C467,"yyyymmdd")&amp;"|"&amp;HOUR(Consolidated!D467))</f>
        <v>Auto|20260718|16</v>
      </c>
      <c r="B464" s="0" t="str">
        <f aca="false">IF(Consolidated!B467="","",SUBSTITUTE(SUBSTITUTE(TEXT(Consolidated!D467,"h:mm AM/PM")," AM","a")," PM","p")&amp;IF(Consolidated!E467="",""," "&amp;Consolidated!E467)&amp;IF(Consolidated!H467="",""," "&amp;Consolidated!H467))</f>
        <v>4:00p Blitz</v>
      </c>
      <c r="C464" s="0" t="str">
        <f aca="false">IF(Consolidated!B467="","",Consolidated!B467&amp;"|"&amp;TEXT(Consolidated!C467,"yyyymmdd"))</f>
        <v>Auto|20260718</v>
      </c>
      <c r="D464" s="0" t="str">
        <f aca="false">IF(Consolidated!I467="","",Consolidated!I467)</f>
        <v/>
      </c>
    </row>
    <row r="465" customFormat="false" ht="15" hidden="false" customHeight="false" outlineLevel="0" collapsed="false">
      <c r="A465" s="0" t="str">
        <f aca="false">IF(Consolidated!B468="","",Consolidated!B468&amp;"|"&amp;TEXT(Consolidated!C468,"yyyymmdd")&amp;"|"&amp;HOUR(Consolidated!D468))</f>
        <v>BE|20260718|10</v>
      </c>
      <c r="B465" s="0" t="str">
        <f aca="false">IF(Consolidated!B468="","",SUBSTITUTE(SUBSTITUTE(TEXT(Consolidated!D468,"h:mm AM/PM")," AM","a")," PM","p")&amp;IF(Consolidated!E468="",""," "&amp;Consolidated!E468)&amp;IF(Consolidated!H468="",""," "&amp;Consolidated!H468))</f>
        <v>10:00a Blitz</v>
      </c>
      <c r="C465" s="0" t="str">
        <f aca="false">IF(Consolidated!B468="","",Consolidated!B468&amp;"|"&amp;TEXT(Consolidated!C468,"yyyymmdd"))</f>
        <v>BE|20260718</v>
      </c>
      <c r="D465" s="0" t="str">
        <f aca="false">IF(Consolidated!I468="","",Consolidated!I468)</f>
        <v/>
      </c>
    </row>
    <row r="466" customFormat="false" ht="15" hidden="false" customHeight="false" outlineLevel="0" collapsed="false">
      <c r="A466" s="0" t="str">
        <f aca="false">IF(Consolidated!B469="","",Consolidated!B469&amp;"|"&amp;TEXT(Consolidated!C469,"yyyymmdd")&amp;"|"&amp;HOUR(Consolidated!D469))</f>
        <v>Branch Vendor|20260718|10</v>
      </c>
      <c r="B466" s="0" t="str">
        <f aca="false">IF(Consolidated!B469="","",SUBSTITUTE(SUBSTITUTE(TEXT(Consolidated!D469,"h:mm AM/PM")," AM","a")," PM","p")&amp;IF(Consolidated!E469="",""," "&amp;Consolidated!E469)&amp;IF(Consolidated!H469="",""," "&amp;Consolidated!H469))</f>
        <v>10:00a Vendor</v>
      </c>
      <c r="C466" s="0" t="str">
        <f aca="false">IF(Consolidated!B469="","",Consolidated!B469&amp;"|"&amp;TEXT(Consolidated!C469,"yyyymmdd"))</f>
        <v>Branch Vendor|20260718</v>
      </c>
      <c r="D466" s="0" t="str">
        <f aca="false">IF(Consolidated!I469="","",Consolidated!I469)</f>
        <v/>
      </c>
    </row>
    <row r="467" customFormat="false" ht="15" hidden="false" customHeight="false" outlineLevel="0" collapsed="false">
      <c r="A467" s="0" t="str">
        <f aca="false">IF(Consolidated!B470="","",Consolidated!B470&amp;"|"&amp;TEXT(Consolidated!C470,"yyyymmdd")&amp;"|"&amp;HOUR(Consolidated!D470))</f>
        <v>FE|20260718|10</v>
      </c>
      <c r="B467" s="0" t="str">
        <f aca="false">IF(Consolidated!B470="","",SUBSTITUTE(SUBSTITUTE(TEXT(Consolidated!D470,"h:mm AM/PM")," AM","a")," PM","p")&amp;IF(Consolidated!E470="",""," "&amp;Consolidated!E470)&amp;IF(Consolidated!H470="",""," "&amp;Consolidated!H470))</f>
        <v>10:00a Blitz</v>
      </c>
      <c r="C467" s="0" t="str">
        <f aca="false">IF(Consolidated!B470="","",Consolidated!B470&amp;"|"&amp;TEXT(Consolidated!C470,"yyyymmdd"))</f>
        <v>FE|20260718</v>
      </c>
      <c r="D467" s="0" t="str">
        <f aca="false">IF(Consolidated!I470="","",Consolidated!I470)</f>
        <v/>
      </c>
    </row>
    <row r="468" customFormat="false" ht="15" hidden="false" customHeight="false" outlineLevel="0" collapsed="false">
      <c r="A468" s="0" t="str">
        <f aca="false">IF(Consolidated!B471="","",Consolidated!B471&amp;"|"&amp;TEXT(Consolidated!C471,"yyyymmdd")&amp;"|"&amp;HOUR(Consolidated!D471))</f>
        <v>FE|20260718|16</v>
      </c>
      <c r="B468" s="0" t="str">
        <f aca="false">IF(Consolidated!B471="","",SUBSTITUTE(SUBSTITUTE(TEXT(Consolidated!D471,"h:mm AM/PM")," AM","a")," PM","p")&amp;IF(Consolidated!E471="",""," "&amp;Consolidated!E471)&amp;IF(Consolidated!H471="",""," "&amp;Consolidated!H471))</f>
        <v>4:00p Blitz</v>
      </c>
      <c r="C468" s="0" t="str">
        <f aca="false">IF(Consolidated!B471="","",Consolidated!B471&amp;"|"&amp;TEXT(Consolidated!C471,"yyyymmdd"))</f>
        <v>FE|20260718</v>
      </c>
      <c r="D468" s="0" t="str">
        <f aca="false">IF(Consolidated!I471="","",Consolidated!I471)</f>
        <v/>
      </c>
    </row>
    <row r="469" customFormat="false" ht="15" hidden="false" customHeight="false" outlineLevel="0" collapsed="false">
      <c r="A469" s="0" t="str">
        <f aca="false">IF(Consolidated!B472="","",Consolidated!B472&amp;"|"&amp;TEXT(Consolidated!C472,"yyyymmdd")&amp;"|"&amp;HOUR(Consolidated!D472))</f>
        <v>PCO|20260718|10</v>
      </c>
      <c r="B469" s="0" t="str">
        <f aca="false">IF(Consolidated!B472="","",SUBSTITUTE(SUBSTITUTE(TEXT(Consolidated!D472,"h:mm AM/PM")," AM","a")," PM","p")&amp;IF(Consolidated!E472="",""," "&amp;Consolidated!E472)&amp;IF(Consolidated!H472="",""," "&amp;Consolidated!H472))</f>
        <v>10:00a Blitz</v>
      </c>
      <c r="C469" s="0" t="str">
        <f aca="false">IF(Consolidated!B472="","",Consolidated!B472&amp;"|"&amp;TEXT(Consolidated!C472,"yyyymmdd"))</f>
        <v>PCO|20260718</v>
      </c>
      <c r="D469" s="0" t="str">
        <f aca="false">IF(Consolidated!I472="","",Consolidated!I472)</f>
        <v/>
      </c>
    </row>
    <row r="470" customFormat="false" ht="15" hidden="false" customHeight="false" outlineLevel="0" collapsed="false">
      <c r="A470" s="0" t="str">
        <f aca="false">IF(Consolidated!B473="","",Consolidated!B473&amp;"|"&amp;TEXT(Consolidated!C473,"yyyymmdd")&amp;"|"&amp;HOUR(Consolidated!D473))</f>
        <v>Auto|20260719|16</v>
      </c>
      <c r="B470" s="0" t="str">
        <f aca="false">IF(Consolidated!B473="","",SUBSTITUTE(SUBSTITUTE(TEXT(Consolidated!D473,"h:mm AM/PM")," AM","a")," PM","p")&amp;IF(Consolidated!E473="",""," "&amp;Consolidated!E473)&amp;IF(Consolidated!H473="",""," "&amp;Consolidated!H473))</f>
        <v>4:00p Blitz</v>
      </c>
      <c r="C470" s="0" t="str">
        <f aca="false">IF(Consolidated!B473="","",Consolidated!B473&amp;"|"&amp;TEXT(Consolidated!C473,"yyyymmdd"))</f>
        <v>Auto|20260719</v>
      </c>
      <c r="D470" s="0" t="str">
        <f aca="false">IF(Consolidated!I473="","",Consolidated!I473)</f>
        <v/>
      </c>
    </row>
    <row r="471" customFormat="false" ht="15" hidden="false" customHeight="false" outlineLevel="0" collapsed="false">
      <c r="A471" s="0" t="str">
        <f aca="false">IF(Consolidated!B474="","",Consolidated!B474&amp;"|"&amp;TEXT(Consolidated!C474,"yyyymmdd")&amp;"|"&amp;HOUR(Consolidated!D474))</f>
        <v>FE|20260719|16</v>
      </c>
      <c r="B471" s="0" t="str">
        <f aca="false">IF(Consolidated!B474="","",SUBSTITUTE(SUBSTITUTE(TEXT(Consolidated!D474,"h:mm AM/PM")," AM","a")," PM","p")&amp;IF(Consolidated!E474="",""," "&amp;Consolidated!E474)&amp;IF(Consolidated!H474="",""," "&amp;Consolidated!H474))</f>
        <v>4:00p Blitz</v>
      </c>
      <c r="C471" s="0" t="str">
        <f aca="false">IF(Consolidated!B474="","",Consolidated!B474&amp;"|"&amp;TEXT(Consolidated!C474,"yyyymmdd"))</f>
        <v>FE|20260719</v>
      </c>
      <c r="D471" s="0" t="str">
        <f aca="false">IF(Consolidated!I474="","",Consolidated!I474)</f>
        <v/>
      </c>
    </row>
    <row r="472" customFormat="false" ht="15" hidden="false" customHeight="false" outlineLevel="0" collapsed="false">
      <c r="A472" s="0" t="str">
        <f aca="false">IF(Consolidated!B475="","",Consolidated!B475&amp;"|"&amp;TEXT(Consolidated!C475,"yyyymmdd")&amp;"|"&amp;HOUR(Consolidated!D475))</f>
        <v>ARC|20260720|11</v>
      </c>
      <c r="B472" s="0" t="str">
        <f aca="false">IF(Consolidated!B475="","",SUBSTITUTE(SUBSTITUTE(TEXT(Consolidated!D475,"h:mm AM/PM")," AM","a")," PM","p")&amp;IF(Consolidated!E475="",""," "&amp;Consolidated!E475)&amp;IF(Consolidated!H475="",""," "&amp;Consolidated!H475))</f>
        <v>11:00a NCs</v>
      </c>
      <c r="C472" s="0" t="str">
        <f aca="false">IF(Consolidated!B475="","",Consolidated!B475&amp;"|"&amp;TEXT(Consolidated!C475,"yyyymmdd"))</f>
        <v>ARC|20260720</v>
      </c>
      <c r="D472" s="0" t="str">
        <f aca="false">IF(Consolidated!I475="","",Consolidated!I475)</f>
        <v>Hit Priority  / Strat 7 / APP</v>
      </c>
    </row>
    <row r="473" customFormat="false" ht="15" hidden="false" customHeight="false" outlineLevel="0" collapsed="false">
      <c r="A473" s="0" t="str">
        <f aca="false">IF(Consolidated!B476="","",Consolidated!B476&amp;"|"&amp;TEXT(Consolidated!C476,"yyyymmdd")&amp;"|"&amp;HOUR(Consolidated!D476))</f>
        <v>ARC|20260720|15</v>
      </c>
      <c r="B473" s="0" t="str">
        <f aca="false">IF(Consolidated!B476="","",SUBSTITUTE(SUBSTITUTE(TEXT(Consolidated!D476,"h:mm AM/PM")," AM","a")," PM","p")&amp;IF(Consolidated!E476="",""," "&amp;Consolidated!E476)&amp;IF(Consolidated!H476="",""," "&amp;Consolidated!H476))</f>
        <v>3:00p All</v>
      </c>
      <c r="C473" s="0" t="str">
        <f aca="false">IF(Consolidated!B476="","",Consolidated!B476&amp;"|"&amp;TEXT(Consolidated!C476,"yyyymmdd"))</f>
        <v>ARC|20260720</v>
      </c>
      <c r="D473" s="0" t="str">
        <f aca="false">IF(Consolidated!I476="","",Consolidated!I476)</f>
        <v>Hit Priority  / Strat 7 / APP</v>
      </c>
    </row>
    <row r="474" customFormat="false" ht="15" hidden="false" customHeight="false" outlineLevel="0" collapsed="false">
      <c r="A474" s="0" t="str">
        <f aca="false">IF(Consolidated!B477="","",Consolidated!B477&amp;"|"&amp;TEXT(Consolidated!C477,"yyyymmdd")&amp;"|"&amp;HOUR(Consolidated!D477))</f>
        <v>Auto|20260720|9</v>
      </c>
      <c r="B474" s="0" t="str">
        <f aca="false">IF(Consolidated!B477="","",SUBSTITUTE(SUBSTITUTE(TEXT(Consolidated!D477,"h:mm AM/PM")," AM","a")," PM","p")&amp;IF(Consolidated!E477="",""," "&amp;Consolidated!E477)&amp;IF(Consolidated!H477="",""," "&amp;Consolidated!H477))</f>
        <v>9:15a E-C AMs</v>
      </c>
      <c r="C474" s="0" t="str">
        <f aca="false">IF(Consolidated!B477="","",Consolidated!B477&amp;"|"&amp;TEXT(Consolidated!C477,"yyyymmdd"))</f>
        <v>Auto|20260720</v>
      </c>
      <c r="D474" s="0" t="str">
        <f aca="false">IF(Consolidated!I477="","",Consolidated!I477)</f>
        <v>Slowpay AM Daily</v>
      </c>
    </row>
    <row r="475" customFormat="false" ht="15" hidden="false" customHeight="false" outlineLevel="0" collapsed="false">
      <c r="A475" s="0" t="str">
        <f aca="false">IF(Consolidated!B478="","",Consolidated!B478&amp;"|"&amp;TEXT(Consolidated!C478,"yyyymmdd")&amp;"|"&amp;HOUR(Consolidated!D478))</f>
        <v>Auto|20260720|11</v>
      </c>
      <c r="B475" s="0" t="str">
        <f aca="false">IF(Consolidated!B478="","",SUBSTITUTE(SUBSTITUTE(TEXT(Consolidated!D478,"h:mm AM/PM")," AM","a")," PM","p")&amp;IF(Consolidated!E478="",""," "&amp;Consolidated!E478)&amp;IF(Consolidated!H478="",""," "&amp;Consolidated!H478))</f>
        <v>11:00a M-P AMs</v>
      </c>
      <c r="C475" s="0" t="str">
        <f aca="false">IF(Consolidated!B478="","",Consolidated!B478&amp;"|"&amp;TEXT(Consolidated!C478,"yyyymmdd"))</f>
        <v>Auto|20260720</v>
      </c>
      <c r="D475" s="0" t="str">
        <f aca="false">IF(Consolidated!I478="","",Consolidated!I478)</f>
        <v/>
      </c>
    </row>
    <row r="476" customFormat="false" ht="15" hidden="false" customHeight="false" outlineLevel="0" collapsed="false">
      <c r="A476" s="0" t="str">
        <f aca="false">IF(Consolidated!B479="","",Consolidated!B479&amp;"|"&amp;TEXT(Consolidated!C479,"yyyymmdd")&amp;"|"&amp;HOUR(Consolidated!D479))</f>
        <v>Auto|20260720|14</v>
      </c>
      <c r="B476" s="0" t="str">
        <f aca="false">IF(Consolidated!B479="","",SUBSTITUTE(SUBSTITUTE(TEXT(Consolidated!D479,"h:mm AM/PM")," AM","a")," PM","p")&amp;IF(Consolidated!E479="",""," "&amp;Consolidated!E479)&amp;IF(Consolidated!H479="",""," "&amp;Consolidated!H479))</f>
        <v>2:00p WFO</v>
      </c>
      <c r="C476" s="0" t="str">
        <f aca="false">IF(Consolidated!B479="","",Consolidated!B479&amp;"|"&amp;TEXT(Consolidated!C479,"yyyymmdd"))</f>
        <v>Auto|20260720</v>
      </c>
      <c r="D476" s="0" t="str">
        <f aca="false">IF(Consolidated!I479="","",Consolidated!I479)</f>
        <v/>
      </c>
    </row>
    <row r="477" customFormat="false" ht="15" hidden="false" customHeight="false" outlineLevel="0" collapsed="false">
      <c r="A477" s="0" t="str">
        <f aca="false">IF(Consolidated!B480="","",Consolidated!B480&amp;"|"&amp;TEXT(Consolidated!C480,"yyyymmdd")&amp;"|"&amp;HOUR(Consolidated!D480))</f>
        <v>Auto|20260720|17</v>
      </c>
      <c r="B477" s="0" t="str">
        <f aca="false">IF(Consolidated!B480="","",SUBSTITUTE(SUBSTITUTE(TEXT(Consolidated!D480,"h:mm AM/PM")," AM","a")," PM","p")&amp;IF(Consolidated!E480="",""," "&amp;Consolidated!E480)&amp;IF(Consolidated!H480="",""," "&amp;Consolidated!H480))</f>
        <v>5:00p Blitz</v>
      </c>
      <c r="C477" s="0" t="str">
        <f aca="false">IF(Consolidated!B480="","",Consolidated!B480&amp;"|"&amp;TEXT(Consolidated!C480,"yyyymmdd"))</f>
        <v>Auto|20260720</v>
      </c>
      <c r="D477" s="0" t="str">
        <f aca="false">IF(Consolidated!I480="","",Consolidated!I480)</f>
        <v/>
      </c>
    </row>
    <row r="478" customFormat="false" ht="15" hidden="false" customHeight="false" outlineLevel="0" collapsed="false">
      <c r="A478" s="0" t="str">
        <f aca="false">IF(Consolidated!B481="","",Consolidated!B481&amp;"|"&amp;TEXT(Consolidated!C481,"yyyymmdd")&amp;"|"&amp;HOUR(Consolidated!D481))</f>
        <v>Auto|20260720|20</v>
      </c>
      <c r="B478" s="0" t="str">
        <f aca="false">IF(Consolidated!B481="","",SUBSTITUTE(SUBSTITUTE(TEXT(Consolidated!D481,"h:mm AM/PM")," AM","a")," PM","p")&amp;IF(Consolidated!E481="",""," "&amp;Consolidated!E481)&amp;IF(Consolidated!H481="",""," "&amp;Consolidated!H481))</f>
        <v>8:00p TSC (All)</v>
      </c>
      <c r="C478" s="0" t="str">
        <f aca="false">IF(Consolidated!B481="","",Consolidated!B481&amp;"|"&amp;TEXT(Consolidated!C481,"yyyymmdd"))</f>
        <v>Auto|20260720</v>
      </c>
      <c r="D478" s="0" t="str">
        <f aca="false">IF(Consolidated!I481="","",Consolidated!I481)</f>
        <v/>
      </c>
    </row>
    <row r="479" customFormat="false" ht="15" hidden="false" customHeight="false" outlineLevel="0" collapsed="false">
      <c r="A479" s="0" t="str">
        <f aca="false">IF(Consolidated!B482="","",Consolidated!B482&amp;"|"&amp;TEXT(Consolidated!C482,"yyyymmdd")&amp;"|"&amp;HOUR(Consolidated!D482))</f>
        <v>BE|20260720|10</v>
      </c>
      <c r="B479" s="0" t="str">
        <f aca="false">IF(Consolidated!B482="","",SUBSTITUTE(SUBSTITUTE(TEXT(Consolidated!D482,"h:mm AM/PM")," AM","a")," PM","p")&amp;IF(Consolidated!E482="",""," "&amp;Consolidated!E482)&amp;IF(Consolidated!H482="",""," "&amp;Consolidated!H482))</f>
        <v>10:00a E-C-M AMs</v>
      </c>
      <c r="C479" s="0" t="str">
        <f aca="false">IF(Consolidated!B482="","",Consolidated!B482&amp;"|"&amp;TEXT(Consolidated!C482,"yyyymmdd"))</f>
        <v>BE|20260720</v>
      </c>
      <c r="D479" s="0" t="str">
        <f aca="false">IF(Consolidated!I482="","",Consolidated!I482)</f>
        <v/>
      </c>
    </row>
    <row r="480" customFormat="false" ht="15" hidden="false" customHeight="false" outlineLevel="0" collapsed="false">
      <c r="A480" s="0" t="str">
        <f aca="false">IF(Consolidated!B483="","",Consolidated!B483&amp;"|"&amp;TEXT(Consolidated!C483,"yyyymmdd")&amp;"|"&amp;HOUR(Consolidated!D483))</f>
        <v>BE|20260720|11</v>
      </c>
      <c r="B480" s="0" t="str">
        <f aca="false">IF(Consolidated!B483="","",SUBSTITUTE(SUBSTITUTE(TEXT(Consolidated!D483,"h:mm AM/PM")," AM","a")," PM","p")&amp;IF(Consolidated!E483="",""," "&amp;Consolidated!E483)&amp;IF(Consolidated!H483="",""," "&amp;Consolidated!H483))</f>
        <v>11:30a P AMs</v>
      </c>
      <c r="C480" s="0" t="str">
        <f aca="false">IF(Consolidated!B483="","",Consolidated!B483&amp;"|"&amp;TEXT(Consolidated!C483,"yyyymmdd"))</f>
        <v>BE|20260720</v>
      </c>
      <c r="D480" s="0" t="str">
        <f aca="false">IF(Consolidated!I483="","",Consolidated!I483)</f>
        <v/>
      </c>
    </row>
    <row r="481" customFormat="false" ht="15" hidden="false" customHeight="false" outlineLevel="0" collapsed="false">
      <c r="A481" s="0" t="str">
        <f aca="false">IF(Consolidated!B484="","",Consolidated!B484&amp;"|"&amp;TEXT(Consolidated!C484,"yyyymmdd")&amp;"|"&amp;HOUR(Consolidated!D484))</f>
        <v>BE|20260720|13</v>
      </c>
      <c r="B481" s="0" t="str">
        <f aca="false">IF(Consolidated!B484="","",SUBSTITUTE(SUBSTITUTE(TEXT(Consolidated!D484,"h:mm AM/PM")," AM","a")," PM","p")&amp;IF(Consolidated!E484="",""," "&amp;Consolidated!E484)&amp;IF(Consolidated!H484="",""," "&amp;Consolidated!H484))</f>
        <v>1:00p WFO</v>
      </c>
      <c r="C481" s="0" t="str">
        <f aca="false">IF(Consolidated!B484="","",Consolidated!B484&amp;"|"&amp;TEXT(Consolidated!C484,"yyyymmdd"))</f>
        <v>BE|20260720</v>
      </c>
      <c r="D481" s="0" t="str">
        <f aca="false">IF(Consolidated!I484="","",Consolidated!I484)</f>
        <v/>
      </c>
    </row>
    <row r="482" customFormat="false" ht="15" hidden="false" customHeight="false" outlineLevel="0" collapsed="false">
      <c r="A482" s="0" t="str">
        <f aca="false">IF(Consolidated!B485="","",Consolidated!B485&amp;"|"&amp;TEXT(Consolidated!C485,"yyyymmdd")&amp;"|"&amp;HOUR(Consolidated!D485))</f>
        <v>BE|20260720|17</v>
      </c>
      <c r="B482" s="0" t="str">
        <f aca="false">IF(Consolidated!B485="","",SUBSTITUTE(SUBSTITUTE(TEXT(Consolidated!D485,"h:mm AM/PM")," AM","a")," PM","p")&amp;IF(Consolidated!E485="",""," "&amp;Consolidated!E485)&amp;IF(Consolidated!H485="",""," "&amp;Consolidated!H485))</f>
        <v>5:00p Blitz</v>
      </c>
      <c r="C482" s="0" t="str">
        <f aca="false">IF(Consolidated!B485="","",Consolidated!B485&amp;"|"&amp;TEXT(Consolidated!C485,"yyyymmdd"))</f>
        <v>BE|20260720</v>
      </c>
      <c r="D482" s="0" t="str">
        <f aca="false">IF(Consolidated!I485="","",Consolidated!I485)</f>
        <v/>
      </c>
    </row>
    <row r="483" customFormat="false" ht="15" hidden="false" customHeight="false" outlineLevel="0" collapsed="false">
      <c r="A483" s="0" t="str">
        <f aca="false">IF(Consolidated!B486="","",Consolidated!B486&amp;"|"&amp;TEXT(Consolidated!C486,"yyyymmdd")&amp;"|"&amp;HOUR(Consolidated!D486))</f>
        <v>BE|20260720|20</v>
      </c>
      <c r="B483" s="0" t="str">
        <f aca="false">IF(Consolidated!B486="","",SUBSTITUTE(SUBSTITUTE(TEXT(Consolidated!D486,"h:mm AM/PM")," AM","a")," PM","p")&amp;IF(Consolidated!E486="",""," "&amp;Consolidated!E486)&amp;IF(Consolidated!H486="",""," "&amp;Consolidated!H486))</f>
        <v>8:00p TSC (All)</v>
      </c>
      <c r="C483" s="0" t="str">
        <f aca="false">IF(Consolidated!B486="","",Consolidated!B486&amp;"|"&amp;TEXT(Consolidated!C486,"yyyymmdd"))</f>
        <v>BE|20260720</v>
      </c>
      <c r="D483" s="0" t="str">
        <f aca="false">IF(Consolidated!I486="","",Consolidated!I486)</f>
        <v/>
      </c>
    </row>
    <row r="484" customFormat="false" ht="15" hidden="false" customHeight="false" outlineLevel="0" collapsed="false">
      <c r="A484" s="0" t="str">
        <f aca="false">IF(Consolidated!B487="","",Consolidated!B487&amp;"|"&amp;TEXT(Consolidated!C487,"yyyymmdd")&amp;"|"&amp;HOUR(Consolidated!D487))</f>
        <v>Branch Central|20260720|9</v>
      </c>
      <c r="B484" s="0" t="str">
        <f aca="false">IF(Consolidated!B487="","",SUBSTITUTE(SUBSTITUTE(TEXT(Consolidated!D487,"h:mm AM/PM")," AM","a")," PM","p")&amp;IF(Consolidated!E487="",""," "&amp;Consolidated!E487)&amp;IF(Consolidated!H487="",""," "&amp;Consolidated!H487))</f>
        <v>9:00a 2Pay E-C</v>
      </c>
      <c r="C484" s="0" t="str">
        <f aca="false">IF(Consolidated!B487="","",Consolidated!B487&amp;"|"&amp;TEXT(Consolidated!C487,"yyyymmdd"))</f>
        <v>Branch Central|20260720</v>
      </c>
      <c r="D484" s="0" t="str">
        <f aca="false">IF(Consolidated!I487="","",Consolidated!I487)</f>
        <v/>
      </c>
    </row>
    <row r="485" customFormat="false" ht="15" hidden="false" customHeight="false" outlineLevel="0" collapsed="false">
      <c r="A485" s="0" t="str">
        <f aca="false">IF(Consolidated!B488="","",Consolidated!B488&amp;"|"&amp;TEXT(Consolidated!C488,"yyyymmdd")&amp;"|"&amp;HOUR(Consolidated!D488))</f>
        <v>Branch Central|20260720|11</v>
      </c>
      <c r="B485" s="0" t="str">
        <f aca="false">IF(Consolidated!B488="","",SUBSTITUTE(SUBSTITUTE(TEXT(Consolidated!D488,"h:mm AM/PM")," AM","a")," PM","p")&amp;IF(Consolidated!E488="",""," "&amp;Consolidated!E488)&amp;IF(Consolidated!H488="",""," "&amp;Consolidated!H488))</f>
        <v>11:00a 2Pay M-P</v>
      </c>
      <c r="C485" s="0" t="str">
        <f aca="false">IF(Consolidated!B488="","",Consolidated!B488&amp;"|"&amp;TEXT(Consolidated!C488,"yyyymmdd"))</f>
        <v>Branch Central|20260720</v>
      </c>
      <c r="D485" s="0" t="str">
        <f aca="false">IF(Consolidated!I488="","",Consolidated!I488)</f>
        <v/>
      </c>
    </row>
    <row r="486" customFormat="false" ht="15" hidden="false" customHeight="false" outlineLevel="0" collapsed="false">
      <c r="A486" s="0" t="str">
        <f aca="false">IF(Consolidated!B489="","",Consolidated!B489&amp;"|"&amp;TEXT(Consolidated!C489,"yyyymmdd")&amp;"|"&amp;HOUR(Consolidated!D489))</f>
        <v>Branch Central|20260720|12</v>
      </c>
      <c r="B486" s="0" t="str">
        <f aca="false">IF(Consolidated!B489="","",SUBSTITUTE(SUBSTITUTE(TEXT(Consolidated!D489,"h:mm AM/PM")," AM","a")," PM","p")&amp;IF(Consolidated!E489="",""," "&amp;Consolidated!E489)&amp;IF(Consolidated!H489="",""," "&amp;Consolidated!H489))</f>
        <v>12:30p E-C 1s &amp; Slow</v>
      </c>
      <c r="C486" s="0" t="str">
        <f aca="false">IF(Consolidated!B489="","",Consolidated!B489&amp;"|"&amp;TEXT(Consolidated!C489,"yyyymmdd"))</f>
        <v>Branch Central|20260720</v>
      </c>
      <c r="D486" s="0" t="str">
        <f aca="false">IF(Consolidated!I489="","",Consolidated!I489)</f>
        <v/>
      </c>
    </row>
    <row r="487" customFormat="false" ht="15" hidden="false" customHeight="false" outlineLevel="0" collapsed="false">
      <c r="A487" s="0" t="str">
        <f aca="false">IF(Consolidated!B490="","",Consolidated!B490&amp;"|"&amp;TEXT(Consolidated!C490,"yyyymmdd")&amp;"|"&amp;HOUR(Consolidated!D490))</f>
        <v>Branch Vendor|20260720|18</v>
      </c>
      <c r="B487" s="0" t="str">
        <f aca="false">IF(Consolidated!B490="","",SUBSTITUTE(SUBSTITUTE(TEXT(Consolidated!D490,"h:mm AM/PM")," AM","a")," PM","p")&amp;IF(Consolidated!E490="",""," "&amp;Consolidated!E490)&amp;IF(Consolidated!H490="",""," "&amp;Consolidated!H490))</f>
        <v>6:00p Vendor</v>
      </c>
      <c r="C487" s="0" t="str">
        <f aca="false">IF(Consolidated!B490="","",Consolidated!B490&amp;"|"&amp;TEXT(Consolidated!C490,"yyyymmdd"))</f>
        <v>Branch Vendor|20260720</v>
      </c>
      <c r="D487" s="0" t="str">
        <f aca="false">IF(Consolidated!I490="","",Consolidated!I490)</f>
        <v/>
      </c>
    </row>
    <row r="488" customFormat="false" ht="15" hidden="false" customHeight="false" outlineLevel="0" collapsed="false">
      <c r="A488" s="0" t="str">
        <f aca="false">IF(Consolidated!B491="","",Consolidated!B491&amp;"|"&amp;TEXT(Consolidated!C491,"yyyymmdd")&amp;"|"&amp;HOUR(Consolidated!D491))</f>
        <v>Card|20260720|8</v>
      </c>
      <c r="B488" s="0" t="str">
        <f aca="false">IF(Consolidated!B491="","",SUBSTITUTE(SUBSTITUTE(TEXT(Consolidated!D491,"h:mm AM/PM")," AM","a")," PM","p")&amp;IF(Consolidated!E491="",""," "&amp;Consolidated!E491)&amp;IF(Consolidated!H491="",""," "&amp;Consolidated!H491))</f>
        <v>8:00a</v>
      </c>
      <c r="C488" s="0" t="str">
        <f aca="false">IF(Consolidated!B491="","",Consolidated!B491&amp;"|"&amp;TEXT(Consolidated!C491,"yyyymmdd"))</f>
        <v>Card|20260720</v>
      </c>
      <c r="D488" s="0" t="str">
        <f aca="false">IF(Consolidated!I491="","",Consolidated!I491)</f>
        <v/>
      </c>
    </row>
    <row r="489" customFormat="false" ht="15" hidden="false" customHeight="false" outlineLevel="0" collapsed="false">
      <c r="A489" s="0" t="str">
        <f aca="false">IF(Consolidated!B492="","",Consolidated!B492&amp;"|"&amp;TEXT(Consolidated!C492,"yyyymmdd")&amp;"|"&amp;HOUR(Consolidated!D492))</f>
        <v>Card|20260720|12</v>
      </c>
      <c r="B489" s="0" t="str">
        <f aca="false">IF(Consolidated!B492="","",SUBSTITUTE(SUBSTITUTE(TEXT(Consolidated!D492,"h:mm AM/PM")," AM","a")," PM","p")&amp;IF(Consolidated!E492="",""," "&amp;Consolidated!E492)&amp;IF(Consolidated!H492="",""," "&amp;Consolidated!H492))</f>
        <v>12:00p</v>
      </c>
      <c r="C489" s="0" t="str">
        <f aca="false">IF(Consolidated!B492="","",Consolidated!B492&amp;"|"&amp;TEXT(Consolidated!C492,"yyyymmdd"))</f>
        <v>Card|20260720</v>
      </c>
      <c r="D489" s="0" t="str">
        <f aca="false">IF(Consolidated!I492="","",Consolidated!I492)</f>
        <v/>
      </c>
    </row>
    <row r="490" customFormat="false" ht="15" hidden="false" customHeight="false" outlineLevel="0" collapsed="false">
      <c r="A490" s="0" t="str">
        <f aca="false">IF(Consolidated!B493="","",Consolidated!B493&amp;"|"&amp;TEXT(Consolidated!C493,"yyyymmdd")&amp;"|"&amp;HOUR(Consolidated!D493))</f>
        <v>Card|20260720|14</v>
      </c>
      <c r="B490" s="0" t="str">
        <f aca="false">IF(Consolidated!B493="","",SUBSTITUTE(SUBSTITUTE(TEXT(Consolidated!D493,"h:mm AM/PM")," AM","a")," PM","p")&amp;IF(Consolidated!E493="",""," "&amp;Consolidated!E493)&amp;IF(Consolidated!H493="",""," "&amp;Consolidated!H493))</f>
        <v>2:00p ASAP</v>
      </c>
      <c r="C490" s="0" t="str">
        <f aca="false">IF(Consolidated!B493="","",Consolidated!B493&amp;"|"&amp;TEXT(Consolidated!C493,"yyyymmdd"))</f>
        <v>Card|20260720</v>
      </c>
      <c r="D490" s="0" t="str">
        <f aca="false">IF(Consolidated!I493="","",Consolidated!I493)</f>
        <v/>
      </c>
    </row>
    <row r="491" customFormat="false" ht="15" hidden="false" customHeight="false" outlineLevel="0" collapsed="false">
      <c r="A491" s="0" t="str">
        <f aca="false">IF(Consolidated!B494="","",Consolidated!B494&amp;"|"&amp;TEXT(Consolidated!C494,"yyyymmdd")&amp;"|"&amp;HOUR(Consolidated!D494))</f>
        <v>Card|20260720|16</v>
      </c>
      <c r="B491" s="0" t="str">
        <f aca="false">IF(Consolidated!B494="","",SUBSTITUTE(SUBSTITUTE(TEXT(Consolidated!D494,"h:mm AM/PM")," AM","a")," PM","p")&amp;IF(Consolidated!E494="",""," "&amp;Consolidated!E494)&amp;IF(Consolidated!H494="",""," "&amp;Consolidated!H494))</f>
        <v>4:00p ASAP</v>
      </c>
      <c r="C491" s="0" t="str">
        <f aca="false">IF(Consolidated!B494="","",Consolidated!B494&amp;"|"&amp;TEXT(Consolidated!C494,"yyyymmdd"))</f>
        <v>Card|20260720</v>
      </c>
      <c r="D491" s="0" t="str">
        <f aca="false">IF(Consolidated!I494="","",Consolidated!I494)</f>
        <v/>
      </c>
    </row>
    <row r="492" customFormat="false" ht="15" hidden="false" customHeight="false" outlineLevel="0" collapsed="false">
      <c r="A492" s="0" t="str">
        <f aca="false">IF(Consolidated!B495="","",Consolidated!B495&amp;"|"&amp;TEXT(Consolidated!C495,"yyyymmdd")&amp;"|"&amp;HOUR(Consolidated!D495))</f>
        <v>Card|20260720|18</v>
      </c>
      <c r="B492" s="0" t="str">
        <f aca="false">IF(Consolidated!B495="","",SUBSTITUTE(SUBSTITUTE(TEXT(Consolidated!D495,"h:mm AM/PM")," AM","a")," PM","p")&amp;IF(Consolidated!E495="",""," "&amp;Consolidated!E495)&amp;IF(Consolidated!H495="",""," "&amp;Consolidated!H495))</f>
        <v>6:00p ASAP</v>
      </c>
      <c r="C492" s="0" t="str">
        <f aca="false">IF(Consolidated!B495="","",Consolidated!B495&amp;"|"&amp;TEXT(Consolidated!C495,"yyyymmdd"))</f>
        <v>Card|20260720</v>
      </c>
      <c r="D492" s="0" t="str">
        <f aca="false">IF(Consolidated!I495="","",Consolidated!I495)</f>
        <v/>
      </c>
    </row>
    <row r="493" customFormat="false" ht="15" hidden="false" customHeight="false" outlineLevel="0" collapsed="false">
      <c r="A493" s="0" t="str">
        <f aca="false">IF(Consolidated!B496="","",Consolidated!B496&amp;"|"&amp;TEXT(Consolidated!C496,"yyyymmdd")&amp;"|"&amp;HOUR(Consolidated!D496))</f>
        <v>FE|20260720|8</v>
      </c>
      <c r="B493" s="0" t="str">
        <f aca="false">IF(Consolidated!B496="","",SUBSTITUTE(SUBSTITUTE(TEXT(Consolidated!D496,"h:mm AM/PM")," AM","a")," PM","p")&amp;IF(Consolidated!E496="",""," "&amp;Consolidated!E496)&amp;IF(Consolidated!H496="",""," "&amp;Consolidated!H496))</f>
        <v>8:15a E AMs</v>
      </c>
      <c r="C493" s="0" t="str">
        <f aca="false">IF(Consolidated!B496="","",Consolidated!B496&amp;"|"&amp;TEXT(Consolidated!C496,"yyyymmdd"))</f>
        <v>FE|20260720</v>
      </c>
      <c r="D493" s="0" t="str">
        <f aca="false">IF(Consolidated!I496="","",Consolidated!I496)</f>
        <v/>
      </c>
    </row>
    <row r="494" customFormat="false" ht="15" hidden="false" customHeight="false" outlineLevel="0" collapsed="false">
      <c r="A494" s="0" t="str">
        <f aca="false">IF(Consolidated!B497="","",Consolidated!B497&amp;"|"&amp;TEXT(Consolidated!C497,"yyyymmdd")&amp;"|"&amp;HOUR(Consolidated!D497))</f>
        <v>FE|20260720|9</v>
      </c>
      <c r="B494" s="0" t="str">
        <f aca="false">IF(Consolidated!B497="","",SUBSTITUTE(SUBSTITUTE(TEXT(Consolidated!D497,"h:mm AM/PM")," AM","a")," PM","p")&amp;IF(Consolidated!E497="",""," "&amp;Consolidated!E497)&amp;IF(Consolidated!H497="",""," "&amp;Consolidated!H497))</f>
        <v>9:15a C AMs</v>
      </c>
      <c r="C494" s="0" t="str">
        <f aca="false">IF(Consolidated!B497="","",Consolidated!B497&amp;"|"&amp;TEXT(Consolidated!C497,"yyyymmdd"))</f>
        <v>FE|20260720</v>
      </c>
      <c r="D494" s="0" t="str">
        <f aca="false">IF(Consolidated!I497="","",Consolidated!I497)</f>
        <v/>
      </c>
    </row>
    <row r="495" customFormat="false" ht="15" hidden="false" customHeight="false" outlineLevel="0" collapsed="false">
      <c r="A495" s="0" t="str">
        <f aca="false">IF(Consolidated!B498="","",Consolidated!B498&amp;"|"&amp;TEXT(Consolidated!C498,"yyyymmdd")&amp;"|"&amp;HOUR(Consolidated!D498))</f>
        <v>FE|20260720|11</v>
      </c>
      <c r="B495" s="0" t="str">
        <f aca="false">IF(Consolidated!B498="","",SUBSTITUTE(SUBSTITUTE(TEXT(Consolidated!D498,"h:mm AM/PM")," AM","a")," PM","p")&amp;IF(Consolidated!E498="",""," "&amp;Consolidated!E498)&amp;IF(Consolidated!H498="",""," "&amp;Consolidated!H498))</f>
        <v>11:30a M-P AMs</v>
      </c>
      <c r="C495" s="0" t="str">
        <f aca="false">IF(Consolidated!B498="","",Consolidated!B498&amp;"|"&amp;TEXT(Consolidated!C498,"yyyymmdd"))</f>
        <v>FE|20260720</v>
      </c>
      <c r="D495" s="0" t="str">
        <f aca="false">IF(Consolidated!I498="","",Consolidated!I498)</f>
        <v/>
      </c>
    </row>
    <row r="496" customFormat="false" ht="15" hidden="false" customHeight="false" outlineLevel="0" collapsed="false">
      <c r="A496" s="0" t="str">
        <f aca="false">IF(Consolidated!B499="","",Consolidated!B499&amp;"|"&amp;TEXT(Consolidated!C499,"yyyymmdd")&amp;"|"&amp;HOUR(Consolidated!D499))</f>
        <v>FE|20260720|12</v>
      </c>
      <c r="B496" s="0" t="str">
        <f aca="false">IF(Consolidated!B499="","",SUBSTITUTE(SUBSTITUTE(TEXT(Consolidated!D499,"h:mm AM/PM")," AM","a")," PM","p")&amp;IF(Consolidated!E499="",""," "&amp;Consolidated!E499)&amp;IF(Consolidated!H499="",""," "&amp;Consolidated!H499))</f>
        <v>12:30p Branch</v>
      </c>
      <c r="C496" s="0" t="str">
        <f aca="false">IF(Consolidated!B499="","",Consolidated!B499&amp;"|"&amp;TEXT(Consolidated!C499,"yyyymmdd"))</f>
        <v>FE|20260720</v>
      </c>
      <c r="D496" s="0" t="str">
        <f aca="false">IF(Consolidated!I499="","",Consolidated!I499)</f>
        <v/>
      </c>
    </row>
    <row r="497" customFormat="false" ht="15" hidden="false" customHeight="false" outlineLevel="0" collapsed="false">
      <c r="A497" s="0" t="str">
        <f aca="false">IF(Consolidated!B500="","",Consolidated!B500&amp;"|"&amp;TEXT(Consolidated!C500,"yyyymmdd")&amp;"|"&amp;HOUR(Consolidated!D500))</f>
        <v>FE|20260720|14</v>
      </c>
      <c r="B497" s="0" t="str">
        <f aca="false">IF(Consolidated!B500="","",SUBSTITUTE(SUBSTITUTE(TEXT(Consolidated!D500,"h:mm AM/PM")," AM","a")," PM","p")&amp;IF(Consolidated!E500="",""," "&amp;Consolidated!E500)&amp;IF(Consolidated!H500="",""," "&amp;Consolidated!H500))</f>
        <v>2:30p WFO</v>
      </c>
      <c r="C497" s="0" t="str">
        <f aca="false">IF(Consolidated!B500="","",Consolidated!B500&amp;"|"&amp;TEXT(Consolidated!C500,"yyyymmdd"))</f>
        <v>FE|20260720</v>
      </c>
      <c r="D497" s="0" t="str">
        <f aca="false">IF(Consolidated!I500="","",Consolidated!I500)</f>
        <v/>
      </c>
    </row>
    <row r="498" customFormat="false" ht="15" hidden="false" customHeight="false" outlineLevel="0" collapsed="false">
      <c r="A498" s="0" t="str">
        <f aca="false">IF(Consolidated!B501="","",Consolidated!B501&amp;"|"&amp;TEXT(Consolidated!C501,"yyyymmdd")&amp;"|"&amp;HOUR(Consolidated!D501))</f>
        <v>FE|20260720|17</v>
      </c>
      <c r="B498" s="0" t="str">
        <f aca="false">IF(Consolidated!B501="","",SUBSTITUTE(SUBSTITUTE(TEXT(Consolidated!D501,"h:mm AM/PM")," AM","a")," PM","p")&amp;IF(Consolidated!E501="",""," "&amp;Consolidated!E501)&amp;IF(Consolidated!H501="",""," "&amp;Consolidated!H501))</f>
        <v>5:00p Blitz</v>
      </c>
      <c r="C498" s="0" t="str">
        <f aca="false">IF(Consolidated!B501="","",Consolidated!B501&amp;"|"&amp;TEXT(Consolidated!C501,"yyyymmdd"))</f>
        <v>FE|20260720</v>
      </c>
      <c r="D498" s="0" t="str">
        <f aca="false">IF(Consolidated!I501="","",Consolidated!I501)</f>
        <v/>
      </c>
    </row>
    <row r="499" customFormat="false" ht="15" hidden="false" customHeight="false" outlineLevel="0" collapsed="false">
      <c r="A499" s="0" t="str">
        <f aca="false">IF(Consolidated!B502="","",Consolidated!B502&amp;"|"&amp;TEXT(Consolidated!C502,"yyyymmdd")&amp;"|"&amp;HOUR(Consolidated!D502))</f>
        <v>FE|20260720|20</v>
      </c>
      <c r="B499" s="0" t="str">
        <f aca="false">IF(Consolidated!B502="","",SUBSTITUTE(SUBSTITUTE(TEXT(Consolidated!D502,"h:mm AM/PM")," AM","a")," PM","p")&amp;IF(Consolidated!E502="",""," "&amp;Consolidated!E502)&amp;IF(Consolidated!H502="",""," "&amp;Consolidated!H502))</f>
        <v>8:00p TSC (All)</v>
      </c>
      <c r="C499" s="0" t="str">
        <f aca="false">IF(Consolidated!B502="","",Consolidated!B502&amp;"|"&amp;TEXT(Consolidated!C502,"yyyymmdd"))</f>
        <v>FE|20260720</v>
      </c>
      <c r="D499" s="0" t="str">
        <f aca="false">IF(Consolidated!I502="","",Consolidated!I502)</f>
        <v/>
      </c>
    </row>
    <row r="500" customFormat="false" ht="15" hidden="false" customHeight="false" outlineLevel="0" collapsed="false">
      <c r="A500" s="0" t="str">
        <f aca="false">IF(Consolidated!B503="","",Consolidated!B503&amp;"|"&amp;TEXT(Consolidated!C503,"yyyymmdd")&amp;"|"&amp;HOUR(Consolidated!D503))</f>
        <v>PCO|20260720|9</v>
      </c>
      <c r="B500" s="0" t="str">
        <f aca="false">IF(Consolidated!B503="","",SUBSTITUTE(SUBSTITUTE(TEXT(Consolidated!D503,"h:mm AM/PM")," AM","a")," PM","p")&amp;IF(Consolidated!E503="",""," "&amp;Consolidated!E503)&amp;IF(Consolidated!H503="",""," "&amp;Consolidated!H503))</f>
        <v>9:00a E-C AMs</v>
      </c>
      <c r="C500" s="0" t="str">
        <f aca="false">IF(Consolidated!B503="","",Consolidated!B503&amp;"|"&amp;TEXT(Consolidated!C503,"yyyymmdd"))</f>
        <v>PCO|20260720</v>
      </c>
      <c r="D500" s="0" t="str">
        <f aca="false">IF(Consolidated!I503="","",Consolidated!I503)</f>
        <v/>
      </c>
    </row>
    <row r="501" customFormat="false" ht="15" hidden="false" customHeight="false" outlineLevel="0" collapsed="false">
      <c r="A501" s="0" t="str">
        <f aca="false">IF(Consolidated!B504="","",Consolidated!B504&amp;"|"&amp;TEXT(Consolidated!C504,"yyyymmdd")&amp;"|"&amp;HOUR(Consolidated!D504))</f>
        <v>PCO|20260720|11</v>
      </c>
      <c r="B501" s="0" t="str">
        <f aca="false">IF(Consolidated!B504="","",SUBSTITUTE(SUBSTITUTE(TEXT(Consolidated!D504,"h:mm AM/PM")," AM","a")," PM","p")&amp;IF(Consolidated!E504="",""," "&amp;Consolidated!E504)&amp;IF(Consolidated!H504="",""," "&amp;Consolidated!H504))</f>
        <v>11:15a M-P AMs</v>
      </c>
      <c r="C501" s="0" t="str">
        <f aca="false">IF(Consolidated!B504="","",Consolidated!B504&amp;"|"&amp;TEXT(Consolidated!C504,"yyyymmdd"))</f>
        <v>PCO|20260720</v>
      </c>
      <c r="D501" s="0" t="str">
        <f aca="false">IF(Consolidated!I504="","",Consolidated!I504)</f>
        <v/>
      </c>
    </row>
    <row r="502" customFormat="false" ht="15" hidden="false" customHeight="false" outlineLevel="0" collapsed="false">
      <c r="A502" s="0" t="str">
        <f aca="false">IF(Consolidated!B505="","",Consolidated!B505&amp;"|"&amp;TEXT(Consolidated!C505,"yyyymmdd")&amp;"|"&amp;HOUR(Consolidated!D505))</f>
        <v>PCO|20260720|13</v>
      </c>
      <c r="B502" s="0" t="str">
        <f aca="false">IF(Consolidated!B505="","",SUBSTITUTE(SUBSTITUTE(TEXT(Consolidated!D505,"h:mm AM/PM")," AM","a")," PM","p")&amp;IF(Consolidated!E505="",""," "&amp;Consolidated!E505)&amp;IF(Consolidated!H505="",""," "&amp;Consolidated!H505))</f>
        <v>1:00p WFO</v>
      </c>
      <c r="C502" s="0" t="str">
        <f aca="false">IF(Consolidated!B505="","",Consolidated!B505&amp;"|"&amp;TEXT(Consolidated!C505,"yyyymmdd"))</f>
        <v>PCO|20260720</v>
      </c>
      <c r="D502" s="0" t="str">
        <f aca="false">IF(Consolidated!I505="","",Consolidated!I505)</f>
        <v/>
      </c>
    </row>
    <row r="503" customFormat="false" ht="15" hidden="false" customHeight="false" outlineLevel="0" collapsed="false">
      <c r="A503" s="0" t="str">
        <f aca="false">IF(Consolidated!B506="","",Consolidated!B506&amp;"|"&amp;TEXT(Consolidated!C506,"yyyymmdd")&amp;"|"&amp;HOUR(Consolidated!D506))</f>
        <v>PCO|20260720|17</v>
      </c>
      <c r="B503" s="0" t="str">
        <f aca="false">IF(Consolidated!B506="","",SUBSTITUTE(SUBSTITUTE(TEXT(Consolidated!D506,"h:mm AM/PM")," AM","a")," PM","p")&amp;IF(Consolidated!E506="",""," "&amp;Consolidated!E506)&amp;IF(Consolidated!H506="",""," "&amp;Consolidated!H506))</f>
        <v>5:00p Blitz</v>
      </c>
      <c r="C503" s="0" t="str">
        <f aca="false">IF(Consolidated!B506="","",Consolidated!B506&amp;"|"&amp;TEXT(Consolidated!C506,"yyyymmdd"))</f>
        <v>PCO|20260720</v>
      </c>
      <c r="D503" s="0" t="str">
        <f aca="false">IF(Consolidated!I506="","",Consolidated!I506)</f>
        <v/>
      </c>
    </row>
    <row r="504" customFormat="false" ht="15" hidden="false" customHeight="false" outlineLevel="0" collapsed="false">
      <c r="A504" s="0" t="str">
        <f aca="false">IF(Consolidated!B507="","",Consolidated!B507&amp;"|"&amp;TEXT(Consolidated!C507,"yyyymmdd")&amp;"|"&amp;HOUR(Consolidated!D507))</f>
        <v>PCO|20260720|20</v>
      </c>
      <c r="B504" s="0" t="str">
        <f aca="false">IF(Consolidated!B507="","",SUBSTITUTE(SUBSTITUTE(TEXT(Consolidated!D507,"h:mm AM/PM")," AM","a")," PM","p")&amp;IF(Consolidated!E507="",""," "&amp;Consolidated!E507)&amp;IF(Consolidated!H507="",""," "&amp;Consolidated!H507))</f>
        <v>8:00p TSC (All)</v>
      </c>
      <c r="C504" s="0" t="str">
        <f aca="false">IF(Consolidated!B507="","",Consolidated!B507&amp;"|"&amp;TEXT(Consolidated!C507,"yyyymmdd"))</f>
        <v>PCO|20260720</v>
      </c>
      <c r="D504" s="0" t="str">
        <f aca="false">IF(Consolidated!I507="","",Consolidated!I507)</f>
        <v/>
      </c>
    </row>
    <row r="505" customFormat="false" ht="15" hidden="false" customHeight="false" outlineLevel="0" collapsed="false">
      <c r="A505" s="0" t="str">
        <f aca="false">IF(Consolidated!B508="","",Consolidated!B508&amp;"|"&amp;TEXT(Consolidated!C508,"yyyymmdd")&amp;"|"&amp;HOUR(Consolidated!D508))</f>
        <v>Repo|20260720|8</v>
      </c>
      <c r="B505" s="0" t="str">
        <f aca="false">IF(Consolidated!B508="","",SUBSTITUTE(SUBSTITUTE(TEXT(Consolidated!D508,"h:mm AM/PM")," AM","a")," PM","p")&amp;IF(Consolidated!E508="",""," "&amp;Consolidated!E508)&amp;IF(Consolidated!H508="",""," "&amp;Consolidated!H508))</f>
        <v>8:15a Repo</v>
      </c>
      <c r="C505" s="0" t="str">
        <f aca="false">IF(Consolidated!B508="","",Consolidated!B508&amp;"|"&amp;TEXT(Consolidated!C508,"yyyymmdd"))</f>
        <v>Repo|20260720</v>
      </c>
      <c r="D505" s="0" t="str">
        <f aca="false">IF(Consolidated!I508="","",Consolidated!I508)</f>
        <v>AM Daily</v>
      </c>
    </row>
    <row r="506" customFormat="false" ht="15" hidden="false" customHeight="false" outlineLevel="0" collapsed="false">
      <c r="A506" s="0" t="str">
        <f aca="false">IF(Consolidated!B509="","",Consolidated!B509&amp;"|"&amp;TEXT(Consolidated!C509,"yyyymmdd")&amp;"|"&amp;HOUR(Consolidated!D509))</f>
        <v>Repo|20260720|10</v>
      </c>
      <c r="B506" s="0" t="str">
        <f aca="false">IF(Consolidated!B509="","",SUBSTITUTE(SUBSTITUTE(TEXT(Consolidated!D509,"h:mm AM/PM")," AM","a")," PM","p")&amp;IF(Consolidated!E509="",""," "&amp;Consolidated!E509)&amp;IF(Consolidated!H509="",""," "&amp;Consolidated!H509))</f>
        <v>10:00a RP</v>
      </c>
      <c r="C506" s="0" t="str">
        <f aca="false">IF(Consolidated!B509="","",Consolidated!B509&amp;"|"&amp;TEXT(Consolidated!C509,"yyyymmdd"))</f>
        <v>Repo|20260720</v>
      </c>
      <c r="D506" s="0" t="str">
        <f aca="false">IF(Consolidated!I509="","",Consolidated!I509)</f>
        <v/>
      </c>
    </row>
    <row r="507" customFormat="false" ht="15" hidden="false" customHeight="false" outlineLevel="0" collapsed="false">
      <c r="A507" s="0" t="str">
        <f aca="false">IF(Consolidated!B510="","",Consolidated!B510&amp;"|"&amp;TEXT(Consolidated!C510,"yyyymmdd")&amp;"|"&amp;HOUR(Consolidated!D510))</f>
        <v>Repo|20260720|13</v>
      </c>
      <c r="B507" s="0" t="str">
        <f aca="false">IF(Consolidated!B510="","",SUBSTITUTE(SUBSTITUTE(TEXT(Consolidated!D510,"h:mm AM/PM")," AM","a")," PM","p")&amp;IF(Consolidated!E510="",""," "&amp;Consolidated!E510)&amp;IF(Consolidated!H510="",""," "&amp;Consolidated!H510))</f>
        <v>1:00p Repo</v>
      </c>
      <c r="C507" s="0" t="str">
        <f aca="false">IF(Consolidated!B510="","",Consolidated!B510&amp;"|"&amp;TEXT(Consolidated!C510,"yyyymmdd"))</f>
        <v>Repo|20260720</v>
      </c>
      <c r="D507" s="0" t="str">
        <f aca="false">IF(Consolidated!I510="","",Consolidated!I510)</f>
        <v/>
      </c>
    </row>
    <row r="508" customFormat="false" ht="15" hidden="false" customHeight="false" outlineLevel="0" collapsed="false">
      <c r="A508" s="0" t="str">
        <f aca="false">IF(Consolidated!B511="","",Consolidated!B511&amp;"|"&amp;TEXT(Consolidated!C511,"yyyymmdd")&amp;"|"&amp;HOUR(Consolidated!D511))</f>
        <v>ARC|20260721|10</v>
      </c>
      <c r="B508" s="0" t="str">
        <f aca="false">IF(Consolidated!B511="","",SUBSTITUTE(SUBSTITUTE(TEXT(Consolidated!D511,"h:mm AM/PM")," AM","a")," PM","p")&amp;IF(Consolidated!E511="",""," "&amp;Consolidated!E511)&amp;IF(Consolidated!H511="",""," "&amp;Consolidated!H511))</f>
        <v>10:00a NCs</v>
      </c>
      <c r="C508" s="0" t="str">
        <f aca="false">IF(Consolidated!B511="","",Consolidated!B511&amp;"|"&amp;TEXT(Consolidated!C511,"yyyymmdd"))</f>
        <v>ARC|20260721</v>
      </c>
      <c r="D508" s="0" t="str">
        <f aca="false">IF(Consolidated!I511="","",Consolidated!I511)</f>
        <v>Broken Promise / Recent Pay / Dialer Only</v>
      </c>
    </row>
    <row r="509" customFormat="false" ht="15" hidden="false" customHeight="false" outlineLevel="0" collapsed="false">
      <c r="A509" s="0" t="str">
        <f aca="false">IF(Consolidated!B512="","",Consolidated!B512&amp;"|"&amp;TEXT(Consolidated!C512,"yyyymmdd")&amp;"|"&amp;HOUR(Consolidated!D512))</f>
        <v>ARC|20260721|15</v>
      </c>
      <c r="B509" s="0" t="str">
        <f aca="false">IF(Consolidated!B512="","",SUBSTITUTE(SUBSTITUTE(TEXT(Consolidated!D512,"h:mm AM/PM")," AM","a")," PM","p")&amp;IF(Consolidated!E512="",""," "&amp;Consolidated!E512)&amp;IF(Consolidated!H512="",""," "&amp;Consolidated!H512))</f>
        <v>3:00p All</v>
      </c>
      <c r="C509" s="0" t="str">
        <f aca="false">IF(Consolidated!B512="","",Consolidated!B512&amp;"|"&amp;TEXT(Consolidated!C512,"yyyymmdd"))</f>
        <v>ARC|20260721</v>
      </c>
      <c r="D509" s="0" t="str">
        <f aca="false">IF(Consolidated!I512="","",Consolidated!I512)</f>
        <v>Broken Promise / Recent Pay / Dialer Only</v>
      </c>
    </row>
    <row r="510" customFormat="false" ht="15" hidden="false" customHeight="false" outlineLevel="0" collapsed="false">
      <c r="A510" s="0" t="str">
        <f aca="false">IF(Consolidated!B513="","",Consolidated!B513&amp;"|"&amp;TEXT(Consolidated!C513,"yyyymmdd")&amp;"|"&amp;HOUR(Consolidated!D513))</f>
        <v>Auto|20260721|8</v>
      </c>
      <c r="B510" s="0" t="str">
        <f aca="false">IF(Consolidated!B513="","",SUBSTITUTE(SUBSTITUTE(TEXT(Consolidated!D513,"h:mm AM/PM")," AM","a")," PM","p")&amp;IF(Consolidated!E513="",""," "&amp;Consolidated!E513)&amp;IF(Consolidated!H513="",""," "&amp;Consolidated!H513))</f>
        <v>8:15a E</v>
      </c>
      <c r="C510" s="0" t="str">
        <f aca="false">IF(Consolidated!B513="","",Consolidated!B513&amp;"|"&amp;TEXT(Consolidated!C513,"yyyymmdd"))</f>
        <v>Auto|20260721</v>
      </c>
      <c r="D510" s="0" t="str">
        <f aca="false">IF(Consolidated!I513="","",Consolidated!I513)</f>
        <v>Slowpay AM Daily</v>
      </c>
    </row>
    <row r="511" customFormat="false" ht="15" hidden="false" customHeight="false" outlineLevel="0" collapsed="false">
      <c r="A511" s="0" t="str">
        <f aca="false">IF(Consolidated!B514="","",Consolidated!B514&amp;"|"&amp;TEXT(Consolidated!C514,"yyyymmdd")&amp;"|"&amp;HOUR(Consolidated!D514))</f>
        <v>Auto|20260721|11</v>
      </c>
      <c r="B511" s="0" t="str">
        <f aca="false">IF(Consolidated!B514="","",SUBSTITUTE(SUBSTITUTE(TEXT(Consolidated!D514,"h:mm AM/PM")," AM","a")," PM","p")&amp;IF(Consolidated!E514="",""," "&amp;Consolidated!E514)&amp;IF(Consolidated!H514="",""," "&amp;Consolidated!H514))</f>
        <v>11:00a C-M-P</v>
      </c>
      <c r="C511" s="0" t="str">
        <f aca="false">IF(Consolidated!B514="","",Consolidated!B514&amp;"|"&amp;TEXT(Consolidated!C514,"yyyymmdd"))</f>
        <v>Auto|20260721</v>
      </c>
      <c r="D511" s="0" t="str">
        <f aca="false">IF(Consolidated!I514="","",Consolidated!I514)</f>
        <v/>
      </c>
    </row>
    <row r="512" customFormat="false" ht="15" hidden="false" customHeight="false" outlineLevel="0" collapsed="false">
      <c r="A512" s="0" t="str">
        <f aca="false">IF(Consolidated!B515="","",Consolidated!B515&amp;"|"&amp;TEXT(Consolidated!C515,"yyyymmdd")&amp;"|"&amp;HOUR(Consolidated!D515))</f>
        <v>Auto|20260721|13</v>
      </c>
      <c r="B512" s="0" t="str">
        <f aca="false">IF(Consolidated!B515="","",SUBSTITUTE(SUBSTITUTE(TEXT(Consolidated!D515,"h:mm AM/PM")," AM","a")," PM","p")&amp;IF(Consolidated!E515="",""," "&amp;Consolidated!E515)&amp;IF(Consolidated!H515="",""," "&amp;Consolidated!H515))</f>
        <v>1:30p WFO</v>
      </c>
      <c r="C512" s="0" t="str">
        <f aca="false">IF(Consolidated!B515="","",Consolidated!B515&amp;"|"&amp;TEXT(Consolidated!C515,"yyyymmdd"))</f>
        <v>Auto|20260721</v>
      </c>
      <c r="D512" s="0" t="str">
        <f aca="false">IF(Consolidated!I515="","",Consolidated!I515)</f>
        <v/>
      </c>
    </row>
    <row r="513" customFormat="false" ht="15" hidden="false" customHeight="false" outlineLevel="0" collapsed="false">
      <c r="A513" s="0" t="str">
        <f aca="false">IF(Consolidated!B516="","",Consolidated!B516&amp;"|"&amp;TEXT(Consolidated!C516,"yyyymmdd")&amp;"|"&amp;HOUR(Consolidated!D516))</f>
        <v>Auto|20260721|14</v>
      </c>
      <c r="B513" s="0" t="str">
        <f aca="false">IF(Consolidated!B516="","",SUBSTITUTE(SUBSTITUTE(TEXT(Consolidated!D516,"h:mm AM/PM")," AM","a")," PM","p")&amp;IF(Consolidated!E516="",""," "&amp;Consolidated!E516)&amp;IF(Consolidated!H516="",""," "&amp;Consolidated!H516))</f>
        <v>2:30p All</v>
      </c>
      <c r="C513" s="0" t="str">
        <f aca="false">IF(Consolidated!B516="","",Consolidated!B516&amp;"|"&amp;TEXT(Consolidated!C516,"yyyymmdd"))</f>
        <v>Auto|20260721</v>
      </c>
      <c r="D513" s="0" t="str">
        <f aca="false">IF(Consolidated!I516="","",Consolidated!I516)</f>
        <v/>
      </c>
    </row>
    <row r="514" customFormat="false" ht="15" hidden="false" customHeight="false" outlineLevel="0" collapsed="false">
      <c r="A514" s="0" t="str">
        <f aca="false">IF(Consolidated!B517="","",Consolidated!B517&amp;"|"&amp;TEXT(Consolidated!C517,"yyyymmdd")&amp;"|"&amp;HOUR(Consolidated!D517))</f>
        <v>Auto|20260721|16</v>
      </c>
      <c r="B514" s="0" t="str">
        <f aca="false">IF(Consolidated!B517="","",SUBSTITUTE(SUBSTITUTE(TEXT(Consolidated!D517,"h:mm AM/PM")," AM","a")," PM","p")&amp;IF(Consolidated!E517="",""," "&amp;Consolidated!E517)&amp;IF(Consolidated!H517="",""," "&amp;Consolidated!H517))</f>
        <v>4:00p All</v>
      </c>
      <c r="C514" s="0" t="str">
        <f aca="false">IF(Consolidated!B517="","",Consolidated!B517&amp;"|"&amp;TEXT(Consolidated!C517,"yyyymmdd"))</f>
        <v>Auto|20260721</v>
      </c>
      <c r="D514" s="0" t="str">
        <f aca="false">IF(Consolidated!I517="","",Consolidated!I517)</f>
        <v/>
      </c>
    </row>
    <row r="515" customFormat="false" ht="15" hidden="false" customHeight="false" outlineLevel="0" collapsed="false">
      <c r="A515" s="0" t="str">
        <f aca="false">IF(Consolidated!B518="","",Consolidated!B518&amp;"|"&amp;TEXT(Consolidated!C518,"yyyymmdd")&amp;"|"&amp;HOUR(Consolidated!D518))</f>
        <v>Auto|20260721|20</v>
      </c>
      <c r="B515" s="0" t="str">
        <f aca="false">IF(Consolidated!B518="","",SUBSTITUTE(SUBSTITUTE(TEXT(Consolidated!D518,"h:mm AM/PM")," AM","a")," PM","p")&amp;IF(Consolidated!E518="",""," "&amp;Consolidated!E518)&amp;IF(Consolidated!H518="",""," "&amp;Consolidated!H518))</f>
        <v>8:00p TSC (All)</v>
      </c>
      <c r="C515" s="0" t="str">
        <f aca="false">IF(Consolidated!B518="","",Consolidated!B518&amp;"|"&amp;TEXT(Consolidated!C518,"yyyymmdd"))</f>
        <v>Auto|20260721</v>
      </c>
      <c r="D515" s="0" t="str">
        <f aca="false">IF(Consolidated!I518="","",Consolidated!I518)</f>
        <v/>
      </c>
    </row>
    <row r="516" customFormat="false" ht="15" hidden="false" customHeight="false" outlineLevel="0" collapsed="false">
      <c r="A516" s="0" t="str">
        <f aca="false">IF(Consolidated!B519="","",Consolidated!B519&amp;"|"&amp;TEXT(Consolidated!C519,"yyyymmdd")&amp;"|"&amp;HOUR(Consolidated!D519))</f>
        <v>BE|20260721|8</v>
      </c>
      <c r="B516" s="0" t="str">
        <f aca="false">IF(Consolidated!B519="","",SUBSTITUTE(SUBSTITUTE(TEXT(Consolidated!D519,"h:mm AM/PM")," AM","a")," PM","p")&amp;IF(Consolidated!E519="",""," "&amp;Consolidated!E519)&amp;IF(Consolidated!H519="",""," "&amp;Consolidated!H519))</f>
        <v>8:15a E</v>
      </c>
      <c r="C516" s="0" t="str">
        <f aca="false">IF(Consolidated!B519="","",Consolidated!B519&amp;"|"&amp;TEXT(Consolidated!C519,"yyyymmdd"))</f>
        <v>BE|20260721</v>
      </c>
      <c r="D516" s="0" t="str">
        <f aca="false">IF(Consolidated!I519="","",Consolidated!I519)</f>
        <v/>
      </c>
    </row>
    <row r="517" customFormat="false" ht="15" hidden="false" customHeight="false" outlineLevel="0" collapsed="false">
      <c r="A517" s="0" t="str">
        <f aca="false">IF(Consolidated!B520="","",Consolidated!B520&amp;"|"&amp;TEXT(Consolidated!C520,"yyyymmdd")&amp;"|"&amp;HOUR(Consolidated!D520))</f>
        <v>BE|20260721|9</v>
      </c>
      <c r="B517" s="0" t="str">
        <f aca="false">IF(Consolidated!B520="","",SUBSTITUTE(SUBSTITUTE(TEXT(Consolidated!D520,"h:mm AM/PM")," AM","a")," PM","p")&amp;IF(Consolidated!E520="",""," "&amp;Consolidated!E520)&amp;IF(Consolidated!H520="",""," "&amp;Consolidated!H520))</f>
        <v>9:15a C</v>
      </c>
      <c r="C517" s="0" t="str">
        <f aca="false">IF(Consolidated!B520="","",Consolidated!B520&amp;"|"&amp;TEXT(Consolidated!C520,"yyyymmdd"))</f>
        <v>BE|20260721</v>
      </c>
      <c r="D517" s="0" t="str">
        <f aca="false">IF(Consolidated!I520="","",Consolidated!I520)</f>
        <v/>
      </c>
    </row>
    <row r="518" customFormat="false" ht="15" hidden="false" customHeight="false" outlineLevel="0" collapsed="false">
      <c r="A518" s="0" t="str">
        <f aca="false">IF(Consolidated!B521="","",Consolidated!B521&amp;"|"&amp;TEXT(Consolidated!C521,"yyyymmdd")&amp;"|"&amp;HOUR(Consolidated!D521))</f>
        <v>BE|20260721|11</v>
      </c>
      <c r="B518" s="0" t="str">
        <f aca="false">IF(Consolidated!B521="","",SUBSTITUTE(SUBSTITUTE(TEXT(Consolidated!D521,"h:mm AM/PM")," AM","a")," PM","p")&amp;IF(Consolidated!E521="",""," "&amp;Consolidated!E521)&amp;IF(Consolidated!H521="",""," "&amp;Consolidated!H521))</f>
        <v>11:30a M-P</v>
      </c>
      <c r="C518" s="0" t="str">
        <f aca="false">IF(Consolidated!B521="","",Consolidated!B521&amp;"|"&amp;TEXT(Consolidated!C521,"yyyymmdd"))</f>
        <v>BE|20260721</v>
      </c>
      <c r="D518" s="0" t="str">
        <f aca="false">IF(Consolidated!I521="","",Consolidated!I521)</f>
        <v/>
      </c>
    </row>
    <row r="519" customFormat="false" ht="15" hidden="false" customHeight="false" outlineLevel="0" collapsed="false">
      <c r="A519" s="0" t="str">
        <f aca="false">IF(Consolidated!B522="","",Consolidated!B522&amp;"|"&amp;TEXT(Consolidated!C522,"yyyymmdd")&amp;"|"&amp;HOUR(Consolidated!D522))</f>
        <v>BE|20260721|13</v>
      </c>
      <c r="B519" s="0" t="str">
        <f aca="false">IF(Consolidated!B522="","",SUBSTITUTE(SUBSTITUTE(TEXT(Consolidated!D522,"h:mm AM/PM")," AM","a")," PM","p")&amp;IF(Consolidated!E522="",""," "&amp;Consolidated!E522)&amp;IF(Consolidated!H522="",""," "&amp;Consolidated!H522))</f>
        <v>1:00p WFO</v>
      </c>
      <c r="C519" s="0" t="str">
        <f aca="false">IF(Consolidated!B522="","",Consolidated!B522&amp;"|"&amp;TEXT(Consolidated!C522,"yyyymmdd"))</f>
        <v>BE|20260721</v>
      </c>
      <c r="D519" s="0" t="str">
        <f aca="false">IF(Consolidated!I522="","",Consolidated!I522)</f>
        <v/>
      </c>
    </row>
    <row r="520" customFormat="false" ht="15" hidden="false" customHeight="false" outlineLevel="0" collapsed="false">
      <c r="A520" s="0" t="str">
        <f aca="false">IF(Consolidated!B523="","",Consolidated!B523&amp;"|"&amp;TEXT(Consolidated!C523,"yyyymmdd")&amp;"|"&amp;HOUR(Consolidated!D523))</f>
        <v>BE|20260721|15</v>
      </c>
      <c r="B520" s="0" t="str">
        <f aca="false">IF(Consolidated!B523="","",SUBSTITUTE(SUBSTITUTE(TEXT(Consolidated!D523,"h:mm AM/PM")," AM","a")," PM","p")&amp;IF(Consolidated!E523="",""," "&amp;Consolidated!E523)&amp;IF(Consolidated!H523="",""," "&amp;Consolidated!H523))</f>
        <v>3:30p All</v>
      </c>
      <c r="C520" s="0" t="str">
        <f aca="false">IF(Consolidated!B523="","",Consolidated!B523&amp;"|"&amp;TEXT(Consolidated!C523,"yyyymmdd"))</f>
        <v>BE|20260721</v>
      </c>
      <c r="D520" s="0" t="str">
        <f aca="false">IF(Consolidated!I523="","",Consolidated!I523)</f>
        <v/>
      </c>
    </row>
    <row r="521" customFormat="false" ht="15" hidden="false" customHeight="false" outlineLevel="0" collapsed="false">
      <c r="A521" s="0" t="str">
        <f aca="false">IF(Consolidated!B524="","",Consolidated!B524&amp;"|"&amp;TEXT(Consolidated!C524,"yyyymmdd")&amp;"|"&amp;HOUR(Consolidated!D524))</f>
        <v>BE|20260721|17</v>
      </c>
      <c r="B521" s="0" t="str">
        <f aca="false">IF(Consolidated!B524="","",SUBSTITUTE(SUBSTITUTE(TEXT(Consolidated!D524,"h:mm AM/PM")," AM","a")," PM","p")&amp;IF(Consolidated!E524="",""," "&amp;Consolidated!E524)&amp;IF(Consolidated!H524="",""," "&amp;Consolidated!H524))</f>
        <v>5:00p All</v>
      </c>
      <c r="C521" s="0" t="str">
        <f aca="false">IF(Consolidated!B524="","",Consolidated!B524&amp;"|"&amp;TEXT(Consolidated!C524,"yyyymmdd"))</f>
        <v>BE|20260721</v>
      </c>
      <c r="D521" s="0" t="str">
        <f aca="false">IF(Consolidated!I524="","",Consolidated!I524)</f>
        <v/>
      </c>
    </row>
    <row r="522" customFormat="false" ht="15" hidden="false" customHeight="false" outlineLevel="0" collapsed="false">
      <c r="A522" s="0" t="str">
        <f aca="false">IF(Consolidated!B525="","",Consolidated!B525&amp;"|"&amp;TEXT(Consolidated!C525,"yyyymmdd")&amp;"|"&amp;HOUR(Consolidated!D525))</f>
        <v>BE|20260721|20</v>
      </c>
      <c r="B522" s="0" t="str">
        <f aca="false">IF(Consolidated!B525="","",SUBSTITUTE(SUBSTITUTE(TEXT(Consolidated!D525,"h:mm AM/PM")," AM","a")," PM","p")&amp;IF(Consolidated!E525="",""," "&amp;Consolidated!E525)&amp;IF(Consolidated!H525="",""," "&amp;Consolidated!H525))</f>
        <v>8:00p TSC (All)</v>
      </c>
      <c r="C522" s="0" t="str">
        <f aca="false">IF(Consolidated!B525="","",Consolidated!B525&amp;"|"&amp;TEXT(Consolidated!C525,"yyyymmdd"))</f>
        <v>BE|20260721</v>
      </c>
      <c r="D522" s="0" t="str">
        <f aca="false">IF(Consolidated!I525="","",Consolidated!I525)</f>
        <v/>
      </c>
    </row>
    <row r="523" customFormat="false" ht="15" hidden="false" customHeight="false" outlineLevel="0" collapsed="false">
      <c r="A523" s="0" t="str">
        <f aca="false">IF(Consolidated!B526="","",Consolidated!B526&amp;"|"&amp;TEXT(Consolidated!C526,"yyyymmdd")&amp;"|"&amp;HOUR(Consolidated!D526))</f>
        <v>Branch Central|20260721|12</v>
      </c>
      <c r="B523" s="0" t="str">
        <f aca="false">IF(Consolidated!B526="","",SUBSTITUTE(SUBSTITUTE(TEXT(Consolidated!D526,"h:mm AM/PM")," AM","a")," PM","p")&amp;IF(Consolidated!E526="",""," "&amp;Consolidated!E526)&amp;IF(Consolidated!H526="",""," "&amp;Consolidated!H526))</f>
        <v>12:30p E-C 1s &amp; Slow</v>
      </c>
      <c r="C523" s="0" t="str">
        <f aca="false">IF(Consolidated!B526="","",Consolidated!B526&amp;"|"&amp;TEXT(Consolidated!C526,"yyyymmdd"))</f>
        <v>Branch Central|20260721</v>
      </c>
      <c r="D523" s="0" t="str">
        <f aca="false">IF(Consolidated!I526="","",Consolidated!I526)</f>
        <v/>
      </c>
    </row>
    <row r="524" customFormat="false" ht="15" hidden="false" customHeight="false" outlineLevel="0" collapsed="false">
      <c r="A524" s="0" t="str">
        <f aca="false">IF(Consolidated!B527="","",Consolidated!B527&amp;"|"&amp;TEXT(Consolidated!C527,"yyyymmdd")&amp;"|"&amp;HOUR(Consolidated!D527))</f>
        <v>Branch Central|20260721|18</v>
      </c>
      <c r="B524" s="0" t="str">
        <f aca="false">IF(Consolidated!B527="","",SUBSTITUTE(SUBSTITUTE(TEXT(Consolidated!D527,"h:mm AM/PM")," AM","a")," PM","p")&amp;IF(Consolidated!E527="",""," "&amp;Consolidated!E527)&amp;IF(Consolidated!H527="",""," "&amp;Consolidated!H527))</f>
        <v>6:00p 2Pay (NCs</v>
      </c>
      <c r="C524" s="0" t="str">
        <f aca="false">IF(Consolidated!B527="","",Consolidated!B527&amp;"|"&amp;TEXT(Consolidated!C527,"yyyymmdd"))</f>
        <v>Branch Central|20260721</v>
      </c>
      <c r="D524" s="0" t="str">
        <f aca="false">IF(Consolidated!I527="","",Consolidated!I527)</f>
        <v/>
      </c>
    </row>
    <row r="525" customFormat="false" ht="15" hidden="false" customHeight="false" outlineLevel="0" collapsed="false">
      <c r="A525" s="0" t="str">
        <f aca="false">IF(Consolidated!B528="","",Consolidated!B528&amp;"|"&amp;TEXT(Consolidated!C528,"yyyymmdd")&amp;"|"&amp;HOUR(Consolidated!D528))</f>
        <v>Branch Vendor|20260721|18</v>
      </c>
      <c r="B525" s="0" t="str">
        <f aca="false">IF(Consolidated!B528="","",SUBSTITUTE(SUBSTITUTE(TEXT(Consolidated!D528,"h:mm AM/PM")," AM","a")," PM","p")&amp;IF(Consolidated!E528="",""," "&amp;Consolidated!E528)&amp;IF(Consolidated!H528="",""," "&amp;Consolidated!H528))</f>
        <v>6:00p Vendor</v>
      </c>
      <c r="C525" s="0" t="str">
        <f aca="false">IF(Consolidated!B528="","",Consolidated!B528&amp;"|"&amp;TEXT(Consolidated!C528,"yyyymmdd"))</f>
        <v>Branch Vendor|20260721</v>
      </c>
      <c r="D525" s="0" t="str">
        <f aca="false">IF(Consolidated!I528="","",Consolidated!I528)</f>
        <v/>
      </c>
    </row>
    <row r="526" customFormat="false" ht="15" hidden="false" customHeight="false" outlineLevel="0" collapsed="false">
      <c r="A526" s="0" t="str">
        <f aca="false">IF(Consolidated!B529="","",Consolidated!B529&amp;"|"&amp;TEXT(Consolidated!C529,"yyyymmdd")&amp;"|"&amp;HOUR(Consolidated!D529))</f>
        <v>Card|20260721|8</v>
      </c>
      <c r="B526" s="0" t="str">
        <f aca="false">IF(Consolidated!B529="","",SUBSTITUTE(SUBSTITUTE(TEXT(Consolidated!D529,"h:mm AM/PM")," AM","a")," PM","p")&amp;IF(Consolidated!E529="",""," "&amp;Consolidated!E529)&amp;IF(Consolidated!H529="",""," "&amp;Consolidated!H529))</f>
        <v>8:00a</v>
      </c>
      <c r="C526" s="0" t="str">
        <f aca="false">IF(Consolidated!B529="","",Consolidated!B529&amp;"|"&amp;TEXT(Consolidated!C529,"yyyymmdd"))</f>
        <v>Card|20260721</v>
      </c>
      <c r="D526" s="0" t="str">
        <f aca="false">IF(Consolidated!I529="","",Consolidated!I529)</f>
        <v/>
      </c>
    </row>
    <row r="527" customFormat="false" ht="15" hidden="false" customHeight="false" outlineLevel="0" collapsed="false">
      <c r="A527" s="0" t="str">
        <f aca="false">IF(Consolidated!B530="","",Consolidated!B530&amp;"|"&amp;TEXT(Consolidated!C530,"yyyymmdd")&amp;"|"&amp;HOUR(Consolidated!D530))</f>
        <v>Card|20260721|12</v>
      </c>
      <c r="B527" s="0" t="str">
        <f aca="false">IF(Consolidated!B530="","",SUBSTITUTE(SUBSTITUTE(TEXT(Consolidated!D530,"h:mm AM/PM")," AM","a")," PM","p")&amp;IF(Consolidated!E530="",""," "&amp;Consolidated!E530)&amp;IF(Consolidated!H530="",""," "&amp;Consolidated!H530))</f>
        <v>12:00p</v>
      </c>
      <c r="C527" s="0" t="str">
        <f aca="false">IF(Consolidated!B530="","",Consolidated!B530&amp;"|"&amp;TEXT(Consolidated!C530,"yyyymmdd"))</f>
        <v>Card|20260721</v>
      </c>
      <c r="D527" s="0" t="str">
        <f aca="false">IF(Consolidated!I530="","",Consolidated!I530)</f>
        <v/>
      </c>
    </row>
    <row r="528" customFormat="false" ht="15" hidden="false" customHeight="false" outlineLevel="0" collapsed="false">
      <c r="A528" s="0" t="str">
        <f aca="false">IF(Consolidated!B531="","",Consolidated!B531&amp;"|"&amp;TEXT(Consolidated!C531,"yyyymmdd")&amp;"|"&amp;HOUR(Consolidated!D531))</f>
        <v>Card|20260721|14</v>
      </c>
      <c r="B528" s="0" t="str">
        <f aca="false">IF(Consolidated!B531="","",SUBSTITUTE(SUBSTITUTE(TEXT(Consolidated!D531,"h:mm AM/PM")," AM","a")," PM","p")&amp;IF(Consolidated!E531="",""," "&amp;Consolidated!E531)&amp;IF(Consolidated!H531="",""," "&amp;Consolidated!H531))</f>
        <v>2:00p ASAP</v>
      </c>
      <c r="C528" s="0" t="str">
        <f aca="false">IF(Consolidated!B531="","",Consolidated!B531&amp;"|"&amp;TEXT(Consolidated!C531,"yyyymmdd"))</f>
        <v>Card|20260721</v>
      </c>
      <c r="D528" s="0" t="str">
        <f aca="false">IF(Consolidated!I531="","",Consolidated!I531)</f>
        <v/>
      </c>
    </row>
    <row r="529" customFormat="false" ht="15" hidden="false" customHeight="false" outlineLevel="0" collapsed="false">
      <c r="A529" s="0" t="str">
        <f aca="false">IF(Consolidated!B532="","",Consolidated!B532&amp;"|"&amp;TEXT(Consolidated!C532,"yyyymmdd")&amp;"|"&amp;HOUR(Consolidated!D532))</f>
        <v>Card|20260721|16</v>
      </c>
      <c r="B529" s="0" t="str">
        <f aca="false">IF(Consolidated!B532="","",SUBSTITUTE(SUBSTITUTE(TEXT(Consolidated!D532,"h:mm AM/PM")," AM","a")," PM","p")&amp;IF(Consolidated!E532="",""," "&amp;Consolidated!E532)&amp;IF(Consolidated!H532="",""," "&amp;Consolidated!H532))</f>
        <v>4:00p ASAP</v>
      </c>
      <c r="C529" s="0" t="str">
        <f aca="false">IF(Consolidated!B532="","",Consolidated!B532&amp;"|"&amp;TEXT(Consolidated!C532,"yyyymmdd"))</f>
        <v>Card|20260721</v>
      </c>
      <c r="D529" s="0" t="str">
        <f aca="false">IF(Consolidated!I532="","",Consolidated!I532)</f>
        <v/>
      </c>
    </row>
    <row r="530" customFormat="false" ht="15" hidden="false" customHeight="false" outlineLevel="0" collapsed="false">
      <c r="A530" s="0" t="str">
        <f aca="false">IF(Consolidated!B533="","",Consolidated!B533&amp;"|"&amp;TEXT(Consolidated!C533,"yyyymmdd")&amp;"|"&amp;HOUR(Consolidated!D533))</f>
        <v>Card|20260721|18</v>
      </c>
      <c r="B530" s="0" t="str">
        <f aca="false">IF(Consolidated!B533="","",SUBSTITUTE(SUBSTITUTE(TEXT(Consolidated!D533,"h:mm AM/PM")," AM","a")," PM","p")&amp;IF(Consolidated!E533="",""," "&amp;Consolidated!E533)&amp;IF(Consolidated!H533="",""," "&amp;Consolidated!H533))</f>
        <v>6:00p ASAP</v>
      </c>
      <c r="C530" s="0" t="str">
        <f aca="false">IF(Consolidated!B533="","",Consolidated!B533&amp;"|"&amp;TEXT(Consolidated!C533,"yyyymmdd"))</f>
        <v>Card|20260721</v>
      </c>
      <c r="D530" s="0" t="str">
        <f aca="false">IF(Consolidated!I533="","",Consolidated!I533)</f>
        <v/>
      </c>
    </row>
    <row r="531" customFormat="false" ht="15" hidden="false" customHeight="false" outlineLevel="0" collapsed="false">
      <c r="A531" s="0" t="str">
        <f aca="false">IF(Consolidated!B534="","",Consolidated!B534&amp;"|"&amp;TEXT(Consolidated!C534,"yyyymmdd")&amp;"|"&amp;HOUR(Consolidated!D534))</f>
        <v>FE|20260721|8</v>
      </c>
      <c r="B531" s="0" t="str">
        <f aca="false">IF(Consolidated!B534="","",SUBSTITUTE(SUBSTITUTE(TEXT(Consolidated!D534,"h:mm AM/PM")," AM","a")," PM","p")&amp;IF(Consolidated!E534="",""," "&amp;Consolidated!E534)&amp;IF(Consolidated!H534="",""," "&amp;Consolidated!H534))</f>
        <v>8:30a E</v>
      </c>
      <c r="C531" s="0" t="str">
        <f aca="false">IF(Consolidated!B534="","",Consolidated!B534&amp;"|"&amp;TEXT(Consolidated!C534,"yyyymmdd"))</f>
        <v>FE|20260721</v>
      </c>
      <c r="D531" s="0" t="str">
        <f aca="false">IF(Consolidated!I534="","",Consolidated!I534)</f>
        <v/>
      </c>
    </row>
    <row r="532" customFormat="false" ht="15" hidden="false" customHeight="false" outlineLevel="0" collapsed="false">
      <c r="A532" s="0" t="str">
        <f aca="false">IF(Consolidated!B535="","",Consolidated!B535&amp;"|"&amp;TEXT(Consolidated!C535,"yyyymmdd")&amp;"|"&amp;HOUR(Consolidated!D535))</f>
        <v>FE|20260721|11</v>
      </c>
      <c r="B532" s="0" t="str">
        <f aca="false">IF(Consolidated!B535="","",SUBSTITUTE(SUBSTITUTE(TEXT(Consolidated!D535,"h:mm AM/PM")," AM","a")," PM","p")&amp;IF(Consolidated!E535="",""," "&amp;Consolidated!E535)&amp;IF(Consolidated!H535="",""," "&amp;Consolidated!H535))</f>
        <v>11:00a C-M-P</v>
      </c>
      <c r="C532" s="0" t="str">
        <f aca="false">IF(Consolidated!B535="","",Consolidated!B535&amp;"|"&amp;TEXT(Consolidated!C535,"yyyymmdd"))</f>
        <v>FE|20260721</v>
      </c>
      <c r="D532" s="0" t="str">
        <f aca="false">IF(Consolidated!I535="","",Consolidated!I535)</f>
        <v/>
      </c>
    </row>
    <row r="533" customFormat="false" ht="15" hidden="false" customHeight="false" outlineLevel="0" collapsed="false">
      <c r="A533" s="0" t="str">
        <f aca="false">IF(Consolidated!B536="","",Consolidated!B536&amp;"|"&amp;TEXT(Consolidated!C536,"yyyymmdd")&amp;"|"&amp;HOUR(Consolidated!D536))</f>
        <v>FE|20260721|12</v>
      </c>
      <c r="B533" s="0" t="str">
        <f aca="false">IF(Consolidated!B536="","",SUBSTITUTE(SUBSTITUTE(TEXT(Consolidated!D536,"h:mm AM/PM")," AM","a")," PM","p")&amp;IF(Consolidated!E536="",""," "&amp;Consolidated!E536)&amp;IF(Consolidated!H536="",""," "&amp;Consolidated!H536))</f>
        <v>12:30p Branch</v>
      </c>
      <c r="C533" s="0" t="str">
        <f aca="false">IF(Consolidated!B536="","",Consolidated!B536&amp;"|"&amp;TEXT(Consolidated!C536,"yyyymmdd"))</f>
        <v>FE|20260721</v>
      </c>
      <c r="D533" s="0" t="str">
        <f aca="false">IF(Consolidated!I536="","",Consolidated!I536)</f>
        <v/>
      </c>
    </row>
    <row r="534" customFormat="false" ht="15" hidden="false" customHeight="false" outlineLevel="0" collapsed="false">
      <c r="A534" s="0" t="str">
        <f aca="false">IF(Consolidated!B537="","",Consolidated!B537&amp;"|"&amp;TEXT(Consolidated!C537,"yyyymmdd")&amp;"|"&amp;HOUR(Consolidated!D537))</f>
        <v>FE|20260721|13</v>
      </c>
      <c r="B534" s="0" t="str">
        <f aca="false">IF(Consolidated!B537="","",SUBSTITUTE(SUBSTITUTE(TEXT(Consolidated!D537,"h:mm AM/PM")," AM","a")," PM","p")&amp;IF(Consolidated!E537="",""," "&amp;Consolidated!E537)&amp;IF(Consolidated!H537="",""," "&amp;Consolidated!H537))</f>
        <v>1:30p WFO</v>
      </c>
      <c r="C534" s="0" t="str">
        <f aca="false">IF(Consolidated!B537="","",Consolidated!B537&amp;"|"&amp;TEXT(Consolidated!C537,"yyyymmdd"))</f>
        <v>FE|20260721</v>
      </c>
      <c r="D534" s="0" t="str">
        <f aca="false">IF(Consolidated!I537="","",Consolidated!I537)</f>
        <v/>
      </c>
    </row>
    <row r="535" customFormat="false" ht="15" hidden="false" customHeight="false" outlineLevel="0" collapsed="false">
      <c r="A535" s="0" t="str">
        <f aca="false">IF(Consolidated!B538="","",Consolidated!B538&amp;"|"&amp;TEXT(Consolidated!C538,"yyyymmdd")&amp;"|"&amp;HOUR(Consolidated!D538))</f>
        <v>FE|20260721|15</v>
      </c>
      <c r="B535" s="0" t="str">
        <f aca="false">IF(Consolidated!B538="","",SUBSTITUTE(SUBSTITUTE(TEXT(Consolidated!D538,"h:mm AM/PM")," AM","a")," PM","p")&amp;IF(Consolidated!E538="",""," "&amp;Consolidated!E538)&amp;IF(Consolidated!H538="",""," "&amp;Consolidated!H538))</f>
        <v>3:00p All</v>
      </c>
      <c r="C535" s="0" t="str">
        <f aca="false">IF(Consolidated!B538="","",Consolidated!B538&amp;"|"&amp;TEXT(Consolidated!C538,"yyyymmdd"))</f>
        <v>FE|20260721</v>
      </c>
      <c r="D535" s="0" t="str">
        <f aca="false">IF(Consolidated!I538="","",Consolidated!I538)</f>
        <v/>
      </c>
    </row>
    <row r="536" customFormat="false" ht="15" hidden="false" customHeight="false" outlineLevel="0" collapsed="false">
      <c r="A536" s="0" t="str">
        <f aca="false">IF(Consolidated!B539="","",Consolidated!B539&amp;"|"&amp;TEXT(Consolidated!C539,"yyyymmdd")&amp;"|"&amp;HOUR(Consolidated!D539))</f>
        <v>FE|20260721|16</v>
      </c>
      <c r="B536" s="0" t="str">
        <f aca="false">IF(Consolidated!B539="","",SUBSTITUTE(SUBSTITUTE(TEXT(Consolidated!D539,"h:mm AM/PM")," AM","a")," PM","p")&amp;IF(Consolidated!E539="",""," "&amp;Consolidated!E539)&amp;IF(Consolidated!H539="",""," "&amp;Consolidated!H539))</f>
        <v>4:30p All</v>
      </c>
      <c r="C536" s="0" t="str">
        <f aca="false">IF(Consolidated!B539="","",Consolidated!B539&amp;"|"&amp;TEXT(Consolidated!C539,"yyyymmdd"))</f>
        <v>FE|20260721</v>
      </c>
      <c r="D536" s="0" t="str">
        <f aca="false">IF(Consolidated!I539="","",Consolidated!I539)</f>
        <v/>
      </c>
    </row>
    <row r="537" customFormat="false" ht="15" hidden="false" customHeight="false" outlineLevel="0" collapsed="false">
      <c r="A537" s="0" t="str">
        <f aca="false">IF(Consolidated!B540="","",Consolidated!B540&amp;"|"&amp;TEXT(Consolidated!C540,"yyyymmdd")&amp;"|"&amp;HOUR(Consolidated!D540))</f>
        <v>FE|20260721|20</v>
      </c>
      <c r="B537" s="0" t="str">
        <f aca="false">IF(Consolidated!B540="","",SUBSTITUTE(SUBSTITUTE(TEXT(Consolidated!D540,"h:mm AM/PM")," AM","a")," PM","p")&amp;IF(Consolidated!E540="",""," "&amp;Consolidated!E540)&amp;IF(Consolidated!H540="",""," "&amp;Consolidated!H540))</f>
        <v>8:00p TSC (All)</v>
      </c>
      <c r="C537" s="0" t="str">
        <f aca="false">IF(Consolidated!B540="","",Consolidated!B540&amp;"|"&amp;TEXT(Consolidated!C540,"yyyymmdd"))</f>
        <v>FE|20260721</v>
      </c>
      <c r="D537" s="0" t="str">
        <f aca="false">IF(Consolidated!I540="","",Consolidated!I540)</f>
        <v/>
      </c>
    </row>
    <row r="538" customFormat="false" ht="15" hidden="false" customHeight="false" outlineLevel="0" collapsed="false">
      <c r="A538" s="0" t="str">
        <f aca="false">IF(Consolidated!B541="","",Consolidated!B541&amp;"|"&amp;TEXT(Consolidated!C541,"yyyymmdd")&amp;"|"&amp;HOUR(Consolidated!D541))</f>
        <v>PCO|20260721|8</v>
      </c>
      <c r="B538" s="0" t="str">
        <f aca="false">IF(Consolidated!B541="","",SUBSTITUTE(SUBSTITUTE(TEXT(Consolidated!D541,"h:mm AM/PM")," AM","a")," PM","p")&amp;IF(Consolidated!E541="",""," "&amp;Consolidated!E541)&amp;IF(Consolidated!H541="",""," "&amp;Consolidated!H541))</f>
        <v>8:30a E</v>
      </c>
      <c r="C538" s="0" t="str">
        <f aca="false">IF(Consolidated!B541="","",Consolidated!B541&amp;"|"&amp;TEXT(Consolidated!C541,"yyyymmdd"))</f>
        <v>PCO|20260721</v>
      </c>
      <c r="D538" s="0" t="str">
        <f aca="false">IF(Consolidated!I541="","",Consolidated!I541)</f>
        <v/>
      </c>
    </row>
    <row r="539" customFormat="false" ht="15" hidden="false" customHeight="false" outlineLevel="0" collapsed="false">
      <c r="A539" s="0" t="str">
        <f aca="false">IF(Consolidated!B542="","",Consolidated!B542&amp;"|"&amp;TEXT(Consolidated!C542,"yyyymmdd")&amp;"|"&amp;HOUR(Consolidated!D542))</f>
        <v>PCO|20260721|11</v>
      </c>
      <c r="B539" s="0" t="str">
        <f aca="false">IF(Consolidated!B542="","",SUBSTITUTE(SUBSTITUTE(TEXT(Consolidated!D542,"h:mm AM/PM")," AM","a")," PM","p")&amp;IF(Consolidated!E542="",""," "&amp;Consolidated!E542)&amp;IF(Consolidated!H542="",""," "&amp;Consolidated!H542))</f>
        <v>11:15a C-M-P</v>
      </c>
      <c r="C539" s="0" t="str">
        <f aca="false">IF(Consolidated!B542="","",Consolidated!B542&amp;"|"&amp;TEXT(Consolidated!C542,"yyyymmdd"))</f>
        <v>PCO|20260721</v>
      </c>
      <c r="D539" s="0" t="str">
        <f aca="false">IF(Consolidated!I542="","",Consolidated!I542)</f>
        <v/>
      </c>
    </row>
    <row r="540" customFormat="false" ht="15" hidden="false" customHeight="false" outlineLevel="0" collapsed="false">
      <c r="A540" s="0" t="str">
        <f aca="false">IF(Consolidated!B543="","",Consolidated!B543&amp;"|"&amp;TEXT(Consolidated!C543,"yyyymmdd")&amp;"|"&amp;HOUR(Consolidated!D543))</f>
        <v>PCO|20260721|13</v>
      </c>
      <c r="B540" s="0" t="str">
        <f aca="false">IF(Consolidated!B543="","",SUBSTITUTE(SUBSTITUTE(TEXT(Consolidated!D543,"h:mm AM/PM")," AM","a")," PM","p")&amp;IF(Consolidated!E543="",""," "&amp;Consolidated!E543)&amp;IF(Consolidated!H543="",""," "&amp;Consolidated!H543))</f>
        <v>1:00p WFO</v>
      </c>
      <c r="C540" s="0" t="str">
        <f aca="false">IF(Consolidated!B543="","",Consolidated!B543&amp;"|"&amp;TEXT(Consolidated!C543,"yyyymmdd"))</f>
        <v>PCO|20260721</v>
      </c>
      <c r="D540" s="0" t="str">
        <f aca="false">IF(Consolidated!I543="","",Consolidated!I543)</f>
        <v/>
      </c>
    </row>
    <row r="541" customFormat="false" ht="15" hidden="false" customHeight="false" outlineLevel="0" collapsed="false">
      <c r="A541" s="0" t="str">
        <f aca="false">IF(Consolidated!B544="","",Consolidated!B544&amp;"|"&amp;TEXT(Consolidated!C544,"yyyymmdd")&amp;"|"&amp;HOUR(Consolidated!D544))</f>
        <v>PCO|20260721|16</v>
      </c>
      <c r="B541" s="0" t="str">
        <f aca="false">IF(Consolidated!B544="","",SUBSTITUTE(SUBSTITUTE(TEXT(Consolidated!D544,"h:mm AM/PM")," AM","a")," PM","p")&amp;IF(Consolidated!E544="",""," "&amp;Consolidated!E544)&amp;IF(Consolidated!H544="",""," "&amp;Consolidated!H544))</f>
        <v>4:00p All</v>
      </c>
      <c r="C541" s="0" t="str">
        <f aca="false">IF(Consolidated!B544="","",Consolidated!B544&amp;"|"&amp;TEXT(Consolidated!C544,"yyyymmdd"))</f>
        <v>PCO|20260721</v>
      </c>
      <c r="D541" s="0" t="str">
        <f aca="false">IF(Consolidated!I544="","",Consolidated!I544)</f>
        <v/>
      </c>
    </row>
    <row r="542" customFormat="false" ht="15" hidden="false" customHeight="false" outlineLevel="0" collapsed="false">
      <c r="A542" s="0" t="str">
        <f aca="false">IF(Consolidated!B545="","",Consolidated!B545&amp;"|"&amp;TEXT(Consolidated!C545,"yyyymmdd")&amp;"|"&amp;HOUR(Consolidated!D545))</f>
        <v>PCO|20260721|20</v>
      </c>
      <c r="B542" s="0" t="str">
        <f aca="false">IF(Consolidated!B545="","",SUBSTITUTE(SUBSTITUTE(TEXT(Consolidated!D545,"h:mm AM/PM")," AM","a")," PM","p")&amp;IF(Consolidated!E545="",""," "&amp;Consolidated!E545)&amp;IF(Consolidated!H545="",""," "&amp;Consolidated!H545))</f>
        <v>8:00p TSC (All)</v>
      </c>
      <c r="C542" s="0" t="str">
        <f aca="false">IF(Consolidated!B545="","",Consolidated!B545&amp;"|"&amp;TEXT(Consolidated!C545,"yyyymmdd"))</f>
        <v>PCO|20260721</v>
      </c>
      <c r="D542" s="0" t="str">
        <f aca="false">IF(Consolidated!I545="","",Consolidated!I545)</f>
        <v/>
      </c>
    </row>
    <row r="543" customFormat="false" ht="15" hidden="false" customHeight="false" outlineLevel="0" collapsed="false">
      <c r="A543" s="0" t="str">
        <f aca="false">IF(Consolidated!B546="","",Consolidated!B546&amp;"|"&amp;TEXT(Consolidated!C546,"yyyymmdd")&amp;"|"&amp;HOUR(Consolidated!D546))</f>
        <v>Repo|20260721|9</v>
      </c>
      <c r="B543" s="0" t="str">
        <f aca="false">IF(Consolidated!B546="","",SUBSTITUTE(SUBSTITUTE(TEXT(Consolidated!D546,"h:mm AM/PM")," AM","a")," PM","p")&amp;IF(Consolidated!E546="",""," "&amp;Consolidated!E546)&amp;IF(Consolidated!H546="",""," "&amp;Consolidated!H546))</f>
        <v>9:00a Repo</v>
      </c>
      <c r="C543" s="0" t="str">
        <f aca="false">IF(Consolidated!B546="","",Consolidated!B546&amp;"|"&amp;TEXT(Consolidated!C546,"yyyymmdd"))</f>
        <v>Repo|20260721</v>
      </c>
      <c r="D543" s="0" t="str">
        <f aca="false">IF(Consolidated!I546="","",Consolidated!I546)</f>
        <v>AM Daily</v>
      </c>
    </row>
    <row r="544" customFormat="false" ht="15" hidden="false" customHeight="false" outlineLevel="0" collapsed="false">
      <c r="A544" s="0" t="str">
        <f aca="false">IF(Consolidated!B547="","",Consolidated!B547&amp;"|"&amp;TEXT(Consolidated!C547,"yyyymmdd")&amp;"|"&amp;HOUR(Consolidated!D547))</f>
        <v>Repo|20260721|10</v>
      </c>
      <c r="B544" s="0" t="str">
        <f aca="false">IF(Consolidated!B547="","",SUBSTITUTE(SUBSTITUTE(TEXT(Consolidated!D547,"h:mm AM/PM")," AM","a")," PM","p")&amp;IF(Consolidated!E547="",""," "&amp;Consolidated!E547)&amp;IF(Consolidated!H547="",""," "&amp;Consolidated!H547))</f>
        <v>10:00a Repo</v>
      </c>
      <c r="C544" s="0" t="str">
        <f aca="false">IF(Consolidated!B547="","",Consolidated!B547&amp;"|"&amp;TEXT(Consolidated!C547,"yyyymmdd"))</f>
        <v>Repo|20260721</v>
      </c>
      <c r="D544" s="0" t="str">
        <f aca="false">IF(Consolidated!I547="","",Consolidated!I547)</f>
        <v/>
      </c>
    </row>
    <row r="545" customFormat="false" ht="15" hidden="false" customHeight="false" outlineLevel="0" collapsed="false">
      <c r="A545" s="0" t="str">
        <f aca="false">IF(Consolidated!B548="","",Consolidated!B548&amp;"|"&amp;TEXT(Consolidated!C548,"yyyymmdd")&amp;"|"&amp;HOUR(Consolidated!D548))</f>
        <v>Repo|20260721|13</v>
      </c>
      <c r="B545" s="0" t="str">
        <f aca="false">IF(Consolidated!B548="","",SUBSTITUTE(SUBSTITUTE(TEXT(Consolidated!D548,"h:mm AM/PM")," AM","a")," PM","p")&amp;IF(Consolidated!E548="",""," "&amp;Consolidated!E548)&amp;IF(Consolidated!H548="",""," "&amp;Consolidated!H548))</f>
        <v>1:00p RP</v>
      </c>
      <c r="C545" s="0" t="str">
        <f aca="false">IF(Consolidated!B548="","",Consolidated!B548&amp;"|"&amp;TEXT(Consolidated!C548,"yyyymmdd"))</f>
        <v>Repo|20260721</v>
      </c>
      <c r="D545" s="0" t="str">
        <f aca="false">IF(Consolidated!I548="","",Consolidated!I548)</f>
        <v/>
      </c>
    </row>
    <row r="546" customFormat="false" ht="15" hidden="false" customHeight="false" outlineLevel="0" collapsed="false">
      <c r="A546" s="0" t="str">
        <f aca="false">IF(Consolidated!B549="","",Consolidated!B549&amp;"|"&amp;TEXT(Consolidated!C549,"yyyymmdd")&amp;"|"&amp;HOUR(Consolidated!D549))</f>
        <v>Repo|20260721|15</v>
      </c>
      <c r="B546" s="0" t="str">
        <f aca="false">IF(Consolidated!B549="","",SUBSTITUTE(SUBSTITUTE(TEXT(Consolidated!D549,"h:mm AM/PM")," AM","a")," PM","p")&amp;IF(Consolidated!E549="",""," "&amp;Consolidated!E549)&amp;IF(Consolidated!H549="",""," "&amp;Consolidated!H549))</f>
        <v>3:00p Repo</v>
      </c>
      <c r="C546" s="0" t="str">
        <f aca="false">IF(Consolidated!B549="","",Consolidated!B549&amp;"|"&amp;TEXT(Consolidated!C549,"yyyymmdd"))</f>
        <v>Repo|20260721</v>
      </c>
      <c r="D546" s="0" t="str">
        <f aca="false">IF(Consolidated!I549="","",Consolidated!I549)</f>
        <v/>
      </c>
    </row>
    <row r="547" customFormat="false" ht="15" hidden="false" customHeight="false" outlineLevel="0" collapsed="false">
      <c r="A547" s="0" t="str">
        <f aca="false">IF(Consolidated!B550="","",Consolidated!B550&amp;"|"&amp;TEXT(Consolidated!C550,"yyyymmdd")&amp;"|"&amp;HOUR(Consolidated!D550))</f>
        <v>ARC|20260722|11</v>
      </c>
      <c r="B547" s="0" t="str">
        <f aca="false">IF(Consolidated!B550="","",SUBSTITUTE(SUBSTITUTE(TEXT(Consolidated!D550,"h:mm AM/PM")," AM","a")," PM","p")&amp;IF(Consolidated!E550="",""," "&amp;Consolidated!E550)&amp;IF(Consolidated!H550="",""," "&amp;Consolidated!H550))</f>
        <v>11:30a NCs</v>
      </c>
      <c r="C547" s="0" t="str">
        <f aca="false">IF(Consolidated!B550="","",Consolidated!B550&amp;"|"&amp;TEXT(Consolidated!C550,"yyyymmdd"))</f>
        <v>ARC|20260722</v>
      </c>
      <c r="D547" s="0" t="str">
        <f aca="false">IF(Consolidated!I550="","",Consolidated!I550)</f>
        <v>Hit List / APP</v>
      </c>
    </row>
    <row r="548" customFormat="false" ht="15" hidden="false" customHeight="false" outlineLevel="0" collapsed="false">
      <c r="A548" s="0" t="str">
        <f aca="false">IF(Consolidated!B551="","",Consolidated!B551&amp;"|"&amp;TEXT(Consolidated!C551,"yyyymmdd")&amp;"|"&amp;HOUR(Consolidated!D551))</f>
        <v>ARC|20260722|16</v>
      </c>
      <c r="B548" s="0" t="str">
        <f aca="false">IF(Consolidated!B551="","",SUBSTITUTE(SUBSTITUTE(TEXT(Consolidated!D551,"h:mm AM/PM")," AM","a")," PM","p")&amp;IF(Consolidated!E551="",""," "&amp;Consolidated!E551)&amp;IF(Consolidated!H551="",""," "&amp;Consolidated!H551))</f>
        <v>4:30p All</v>
      </c>
      <c r="C548" s="0" t="str">
        <f aca="false">IF(Consolidated!B551="","",Consolidated!B551&amp;"|"&amp;TEXT(Consolidated!C551,"yyyymmdd"))</f>
        <v>ARC|20260722</v>
      </c>
      <c r="D548" s="0" t="str">
        <f aca="false">IF(Consolidated!I551="","",Consolidated!I551)</f>
        <v>Hit List / APP</v>
      </c>
    </row>
    <row r="549" customFormat="false" ht="15" hidden="false" customHeight="false" outlineLevel="0" collapsed="false">
      <c r="A549" s="0" t="str">
        <f aca="false">IF(Consolidated!B552="","",Consolidated!B552&amp;"|"&amp;TEXT(Consolidated!C552,"yyyymmdd")&amp;"|"&amp;HOUR(Consolidated!D552))</f>
        <v>Auto|20260722|8</v>
      </c>
      <c r="B549" s="0" t="str">
        <f aca="false">IF(Consolidated!B552="","",SUBSTITUTE(SUBSTITUTE(TEXT(Consolidated!D552,"h:mm AM/PM")," AM","a")," PM","p")&amp;IF(Consolidated!E552="",""," "&amp;Consolidated!E552)&amp;IF(Consolidated!H552="",""," "&amp;Consolidated!H552))</f>
        <v>8:30a E AMs</v>
      </c>
      <c r="C549" s="0" t="str">
        <f aca="false">IF(Consolidated!B552="","",Consolidated!B552&amp;"|"&amp;TEXT(Consolidated!C552,"yyyymmdd"))</f>
        <v>Auto|20260722</v>
      </c>
      <c r="D549" s="0" t="str">
        <f aca="false">IF(Consolidated!I552="","",Consolidated!I552)</f>
        <v>Slowpay AM Daily</v>
      </c>
    </row>
    <row r="550" customFormat="false" ht="15" hidden="false" customHeight="false" outlineLevel="0" collapsed="false">
      <c r="A550" s="0" t="str">
        <f aca="false">IF(Consolidated!B553="","",Consolidated!B553&amp;"|"&amp;TEXT(Consolidated!C553,"yyyymmdd")&amp;"|"&amp;HOUR(Consolidated!D553))</f>
        <v>Auto|20260722|11</v>
      </c>
      <c r="B550" s="0" t="str">
        <f aca="false">IF(Consolidated!B553="","",SUBSTITUTE(SUBSTITUTE(TEXT(Consolidated!D553,"h:mm AM/PM")," AM","a")," PM","p")&amp;IF(Consolidated!E553="",""," "&amp;Consolidated!E553)&amp;IF(Consolidated!H553="",""," "&amp;Consolidated!H553))</f>
        <v>11:30a C-M-P AMs</v>
      </c>
      <c r="C550" s="0" t="str">
        <f aca="false">IF(Consolidated!B553="","",Consolidated!B553&amp;"|"&amp;TEXT(Consolidated!C553,"yyyymmdd"))</f>
        <v>Auto|20260722</v>
      </c>
      <c r="D550" s="0" t="str">
        <f aca="false">IF(Consolidated!I553="","",Consolidated!I553)</f>
        <v/>
      </c>
    </row>
    <row r="551" customFormat="false" ht="15" hidden="false" customHeight="false" outlineLevel="0" collapsed="false">
      <c r="A551" s="0" t="str">
        <f aca="false">IF(Consolidated!B554="","",Consolidated!B554&amp;"|"&amp;TEXT(Consolidated!C554,"yyyymmdd")&amp;"|"&amp;HOUR(Consolidated!D554))</f>
        <v>Auto|20260722|14</v>
      </c>
      <c r="B551" s="0" t="str">
        <f aca="false">IF(Consolidated!B554="","",SUBSTITUTE(SUBSTITUTE(TEXT(Consolidated!D554,"h:mm AM/PM")," AM","a")," PM","p")&amp;IF(Consolidated!E554="",""," "&amp;Consolidated!E554)&amp;IF(Consolidated!H554="",""," "&amp;Consolidated!H554))</f>
        <v>2:00p WFO</v>
      </c>
      <c r="C551" s="0" t="str">
        <f aca="false">IF(Consolidated!B554="","",Consolidated!B554&amp;"|"&amp;TEXT(Consolidated!C554,"yyyymmdd"))</f>
        <v>Auto|20260722</v>
      </c>
      <c r="D551" s="0" t="str">
        <f aca="false">IF(Consolidated!I554="","",Consolidated!I554)</f>
        <v/>
      </c>
    </row>
    <row r="552" customFormat="false" ht="15" hidden="false" customHeight="false" outlineLevel="0" collapsed="false">
      <c r="A552" s="0" t="str">
        <f aca="false">IF(Consolidated!B555="","",Consolidated!B555&amp;"|"&amp;TEXT(Consolidated!C555,"yyyymmdd")&amp;"|"&amp;HOUR(Consolidated!D555))</f>
        <v>Auto|20260722|17</v>
      </c>
      <c r="B552" s="0" t="str">
        <f aca="false">IF(Consolidated!B555="","",SUBSTITUTE(SUBSTITUTE(TEXT(Consolidated!D555,"h:mm AM/PM")," AM","a")," PM","p")&amp;IF(Consolidated!E555="",""," "&amp;Consolidated!E555)&amp;IF(Consolidated!H555="",""," "&amp;Consolidated!H555))</f>
        <v>5:00p Blitz</v>
      </c>
      <c r="C552" s="0" t="str">
        <f aca="false">IF(Consolidated!B555="","",Consolidated!B555&amp;"|"&amp;TEXT(Consolidated!C555,"yyyymmdd"))</f>
        <v>Auto|20260722</v>
      </c>
      <c r="D552" s="0" t="str">
        <f aca="false">IF(Consolidated!I555="","",Consolidated!I555)</f>
        <v/>
      </c>
    </row>
    <row r="553" customFormat="false" ht="15" hidden="false" customHeight="false" outlineLevel="0" collapsed="false">
      <c r="A553" s="0" t="str">
        <f aca="false">IF(Consolidated!B556="","",Consolidated!B556&amp;"|"&amp;TEXT(Consolidated!C556,"yyyymmdd")&amp;"|"&amp;HOUR(Consolidated!D556))</f>
        <v>Auto|20260722|20</v>
      </c>
      <c r="B553" s="0" t="str">
        <f aca="false">IF(Consolidated!B556="","",SUBSTITUTE(SUBSTITUTE(TEXT(Consolidated!D556,"h:mm AM/PM")," AM","a")," PM","p")&amp;IF(Consolidated!E556="",""," "&amp;Consolidated!E556)&amp;IF(Consolidated!H556="",""," "&amp;Consolidated!H556))</f>
        <v>8:00p TSC (All)</v>
      </c>
      <c r="C553" s="0" t="str">
        <f aca="false">IF(Consolidated!B556="","",Consolidated!B556&amp;"|"&amp;TEXT(Consolidated!C556,"yyyymmdd"))</f>
        <v>Auto|20260722</v>
      </c>
      <c r="D553" s="0" t="str">
        <f aca="false">IF(Consolidated!I556="","",Consolidated!I556)</f>
        <v/>
      </c>
    </row>
    <row r="554" customFormat="false" ht="15" hidden="false" customHeight="false" outlineLevel="0" collapsed="false">
      <c r="A554" s="0" t="str">
        <f aca="false">IF(Consolidated!B557="","",Consolidated!B557&amp;"|"&amp;TEXT(Consolidated!C557,"yyyymmdd")&amp;"|"&amp;HOUR(Consolidated!D557))</f>
        <v>BE|20260722|9</v>
      </c>
      <c r="B554" s="0" t="str">
        <f aca="false">IF(Consolidated!B557="","",SUBSTITUTE(SUBSTITUTE(TEXT(Consolidated!D557,"h:mm AM/PM")," AM","a")," PM","p")&amp;IF(Consolidated!E557="",""," "&amp;Consolidated!E557)&amp;IF(Consolidated!H557="",""," "&amp;Consolidated!H557))</f>
        <v>9:15a E-C AMs</v>
      </c>
      <c r="C554" s="0" t="str">
        <f aca="false">IF(Consolidated!B557="","",Consolidated!B557&amp;"|"&amp;TEXT(Consolidated!C557,"yyyymmdd"))</f>
        <v>BE|20260722</v>
      </c>
      <c r="D554" s="0" t="str">
        <f aca="false">IF(Consolidated!I557="","",Consolidated!I557)</f>
        <v/>
      </c>
    </row>
    <row r="555" customFormat="false" ht="15" hidden="false" customHeight="false" outlineLevel="0" collapsed="false">
      <c r="A555" s="0" t="str">
        <f aca="false">IF(Consolidated!B558="","",Consolidated!B558&amp;"|"&amp;TEXT(Consolidated!C558,"yyyymmdd")&amp;"|"&amp;HOUR(Consolidated!D558))</f>
        <v>BE|20260722|11</v>
      </c>
      <c r="B555" s="0" t="str">
        <f aca="false">IF(Consolidated!B558="","",SUBSTITUTE(SUBSTITUTE(TEXT(Consolidated!D558,"h:mm AM/PM")," AM","a")," PM","p")&amp;IF(Consolidated!E558="",""," "&amp;Consolidated!E558)&amp;IF(Consolidated!H558="",""," "&amp;Consolidated!H558))</f>
        <v>11:30a M-P AMs</v>
      </c>
      <c r="C555" s="0" t="str">
        <f aca="false">IF(Consolidated!B558="","",Consolidated!B558&amp;"|"&amp;TEXT(Consolidated!C558,"yyyymmdd"))</f>
        <v>BE|20260722</v>
      </c>
      <c r="D555" s="0" t="str">
        <f aca="false">IF(Consolidated!I558="","",Consolidated!I558)</f>
        <v/>
      </c>
    </row>
    <row r="556" customFormat="false" ht="15" hidden="false" customHeight="false" outlineLevel="0" collapsed="false">
      <c r="A556" s="0" t="str">
        <f aca="false">IF(Consolidated!B559="","",Consolidated!B559&amp;"|"&amp;TEXT(Consolidated!C559,"yyyymmdd")&amp;"|"&amp;HOUR(Consolidated!D559))</f>
        <v>BE|20260722|13</v>
      </c>
      <c r="B556" s="0" t="str">
        <f aca="false">IF(Consolidated!B559="","",SUBSTITUTE(SUBSTITUTE(TEXT(Consolidated!D559,"h:mm AM/PM")," AM","a")," PM","p")&amp;IF(Consolidated!E559="",""," "&amp;Consolidated!E559)&amp;IF(Consolidated!H559="",""," "&amp;Consolidated!H559))</f>
        <v>1:00p WFO</v>
      </c>
      <c r="C556" s="0" t="str">
        <f aca="false">IF(Consolidated!B559="","",Consolidated!B559&amp;"|"&amp;TEXT(Consolidated!C559,"yyyymmdd"))</f>
        <v>BE|20260722</v>
      </c>
      <c r="D556" s="0" t="str">
        <f aca="false">IF(Consolidated!I559="","",Consolidated!I559)</f>
        <v/>
      </c>
    </row>
    <row r="557" customFormat="false" ht="15" hidden="false" customHeight="false" outlineLevel="0" collapsed="false">
      <c r="A557" s="0" t="str">
        <f aca="false">IF(Consolidated!B560="","",Consolidated!B560&amp;"|"&amp;TEXT(Consolidated!C560,"yyyymmdd")&amp;"|"&amp;HOUR(Consolidated!D560))</f>
        <v>BE|20260722|17</v>
      </c>
      <c r="B557" s="0" t="str">
        <f aca="false">IF(Consolidated!B560="","",SUBSTITUTE(SUBSTITUTE(TEXT(Consolidated!D560,"h:mm AM/PM")," AM","a")," PM","p")&amp;IF(Consolidated!E560="",""," "&amp;Consolidated!E560)&amp;IF(Consolidated!H560="",""," "&amp;Consolidated!H560))</f>
        <v>5:00p Blitz</v>
      </c>
      <c r="C557" s="0" t="str">
        <f aca="false">IF(Consolidated!B560="","",Consolidated!B560&amp;"|"&amp;TEXT(Consolidated!C560,"yyyymmdd"))</f>
        <v>BE|20260722</v>
      </c>
      <c r="D557" s="0" t="str">
        <f aca="false">IF(Consolidated!I560="","",Consolidated!I560)</f>
        <v/>
      </c>
    </row>
    <row r="558" customFormat="false" ht="15" hidden="false" customHeight="false" outlineLevel="0" collapsed="false">
      <c r="A558" s="0" t="str">
        <f aca="false">IF(Consolidated!B561="","",Consolidated!B561&amp;"|"&amp;TEXT(Consolidated!C561,"yyyymmdd")&amp;"|"&amp;HOUR(Consolidated!D561))</f>
        <v>BE|20260722|20</v>
      </c>
      <c r="B558" s="0" t="str">
        <f aca="false">IF(Consolidated!B561="","",SUBSTITUTE(SUBSTITUTE(TEXT(Consolidated!D561,"h:mm AM/PM")," AM","a")," PM","p")&amp;IF(Consolidated!E561="",""," "&amp;Consolidated!E561)&amp;IF(Consolidated!H561="",""," "&amp;Consolidated!H561))</f>
        <v>8:00p TSC (All)</v>
      </c>
      <c r="C558" s="0" t="str">
        <f aca="false">IF(Consolidated!B561="","",Consolidated!B561&amp;"|"&amp;TEXT(Consolidated!C561,"yyyymmdd"))</f>
        <v>BE|20260722</v>
      </c>
      <c r="D558" s="0" t="str">
        <f aca="false">IF(Consolidated!I561="","",Consolidated!I561)</f>
        <v/>
      </c>
    </row>
    <row r="559" customFormat="false" ht="15" hidden="false" customHeight="false" outlineLevel="0" collapsed="false">
      <c r="A559" s="0" t="str">
        <f aca="false">IF(Consolidated!B562="","",Consolidated!B562&amp;"|"&amp;TEXT(Consolidated!C562,"yyyymmdd")&amp;"|"&amp;HOUR(Consolidated!D562))</f>
        <v>Branch Central|20260722|12</v>
      </c>
      <c r="B559" s="0" t="str">
        <f aca="false">IF(Consolidated!B562="","",SUBSTITUTE(SUBSTITUTE(TEXT(Consolidated!D562,"h:mm AM/PM")," AM","a")," PM","p")&amp;IF(Consolidated!E562="",""," "&amp;Consolidated!E562)&amp;IF(Consolidated!H562="",""," "&amp;Consolidated!H562))</f>
        <v>12:30p E-C 1s &amp; Slow</v>
      </c>
      <c r="C559" s="0" t="str">
        <f aca="false">IF(Consolidated!B562="","",Consolidated!B562&amp;"|"&amp;TEXT(Consolidated!C562,"yyyymmdd"))</f>
        <v>Branch Central|20260722</v>
      </c>
      <c r="D559" s="0" t="str">
        <f aca="false">IF(Consolidated!I562="","",Consolidated!I562)</f>
        <v/>
      </c>
    </row>
    <row r="560" customFormat="false" ht="15" hidden="false" customHeight="false" outlineLevel="0" collapsed="false">
      <c r="A560" s="0" t="str">
        <f aca="false">IF(Consolidated!B563="","",Consolidated!B563&amp;"|"&amp;TEXT(Consolidated!C563,"yyyymmdd")&amp;"|"&amp;HOUR(Consolidated!D563))</f>
        <v>Branch Vendor|20260722|18</v>
      </c>
      <c r="B560" s="0" t="str">
        <f aca="false">IF(Consolidated!B563="","",SUBSTITUTE(SUBSTITUTE(TEXT(Consolidated!D563,"h:mm AM/PM")," AM","a")," PM","p")&amp;IF(Consolidated!E563="",""," "&amp;Consolidated!E563)&amp;IF(Consolidated!H563="",""," "&amp;Consolidated!H563))</f>
        <v>6:00p Vendor</v>
      </c>
      <c r="C560" s="0" t="str">
        <f aca="false">IF(Consolidated!B563="","",Consolidated!B563&amp;"|"&amp;TEXT(Consolidated!C563,"yyyymmdd"))</f>
        <v>Branch Vendor|20260722</v>
      </c>
      <c r="D560" s="0" t="str">
        <f aca="false">IF(Consolidated!I563="","",Consolidated!I563)</f>
        <v/>
      </c>
    </row>
    <row r="561" customFormat="false" ht="15" hidden="false" customHeight="false" outlineLevel="0" collapsed="false">
      <c r="A561" s="0" t="str">
        <f aca="false">IF(Consolidated!B564="","",Consolidated!B564&amp;"|"&amp;TEXT(Consolidated!C564,"yyyymmdd")&amp;"|"&amp;HOUR(Consolidated!D564))</f>
        <v>Card|20260722|8</v>
      </c>
      <c r="B561" s="0" t="str">
        <f aca="false">IF(Consolidated!B564="","",SUBSTITUTE(SUBSTITUTE(TEXT(Consolidated!D564,"h:mm AM/PM")," AM","a")," PM","p")&amp;IF(Consolidated!E564="",""," "&amp;Consolidated!E564)&amp;IF(Consolidated!H564="",""," "&amp;Consolidated!H564))</f>
        <v>8:00a</v>
      </c>
      <c r="C561" s="0" t="str">
        <f aca="false">IF(Consolidated!B564="","",Consolidated!B564&amp;"|"&amp;TEXT(Consolidated!C564,"yyyymmdd"))</f>
        <v>Card|20260722</v>
      </c>
      <c r="D561" s="0" t="str">
        <f aca="false">IF(Consolidated!I564="","",Consolidated!I564)</f>
        <v/>
      </c>
    </row>
    <row r="562" customFormat="false" ht="15" hidden="false" customHeight="false" outlineLevel="0" collapsed="false">
      <c r="A562" s="0" t="str">
        <f aca="false">IF(Consolidated!B565="","",Consolidated!B565&amp;"|"&amp;TEXT(Consolidated!C565,"yyyymmdd")&amp;"|"&amp;HOUR(Consolidated!D565))</f>
        <v>Card|20260722|12</v>
      </c>
      <c r="B562" s="0" t="str">
        <f aca="false">IF(Consolidated!B565="","",SUBSTITUTE(SUBSTITUTE(TEXT(Consolidated!D565,"h:mm AM/PM")," AM","a")," PM","p")&amp;IF(Consolidated!E565="",""," "&amp;Consolidated!E565)&amp;IF(Consolidated!H565="",""," "&amp;Consolidated!H565))</f>
        <v>12:00p</v>
      </c>
      <c r="C562" s="0" t="str">
        <f aca="false">IF(Consolidated!B565="","",Consolidated!B565&amp;"|"&amp;TEXT(Consolidated!C565,"yyyymmdd"))</f>
        <v>Card|20260722</v>
      </c>
      <c r="D562" s="0" t="str">
        <f aca="false">IF(Consolidated!I565="","",Consolidated!I565)</f>
        <v/>
      </c>
    </row>
    <row r="563" customFormat="false" ht="15" hidden="false" customHeight="false" outlineLevel="0" collapsed="false">
      <c r="A563" s="0" t="str">
        <f aca="false">IF(Consolidated!B566="","",Consolidated!B566&amp;"|"&amp;TEXT(Consolidated!C566,"yyyymmdd")&amp;"|"&amp;HOUR(Consolidated!D566))</f>
        <v>Card|20260722|14</v>
      </c>
      <c r="B563" s="0" t="str">
        <f aca="false">IF(Consolidated!B566="","",SUBSTITUTE(SUBSTITUTE(TEXT(Consolidated!D566,"h:mm AM/PM")," AM","a")," PM","p")&amp;IF(Consolidated!E566="",""," "&amp;Consolidated!E566)&amp;IF(Consolidated!H566="",""," "&amp;Consolidated!H566))</f>
        <v>2:00p ASAP</v>
      </c>
      <c r="C563" s="0" t="str">
        <f aca="false">IF(Consolidated!B566="","",Consolidated!B566&amp;"|"&amp;TEXT(Consolidated!C566,"yyyymmdd"))</f>
        <v>Card|20260722</v>
      </c>
      <c r="D563" s="0" t="str">
        <f aca="false">IF(Consolidated!I566="","",Consolidated!I566)</f>
        <v/>
      </c>
    </row>
    <row r="564" customFormat="false" ht="15" hidden="false" customHeight="false" outlineLevel="0" collapsed="false">
      <c r="A564" s="0" t="str">
        <f aca="false">IF(Consolidated!B567="","",Consolidated!B567&amp;"|"&amp;TEXT(Consolidated!C567,"yyyymmdd")&amp;"|"&amp;HOUR(Consolidated!D567))</f>
        <v>Card|20260722|16</v>
      </c>
      <c r="B564" s="0" t="str">
        <f aca="false">IF(Consolidated!B567="","",SUBSTITUTE(SUBSTITUTE(TEXT(Consolidated!D567,"h:mm AM/PM")," AM","a")," PM","p")&amp;IF(Consolidated!E567="",""," "&amp;Consolidated!E567)&amp;IF(Consolidated!H567="",""," "&amp;Consolidated!H567))</f>
        <v>4:00p ASAP</v>
      </c>
      <c r="C564" s="0" t="str">
        <f aca="false">IF(Consolidated!B567="","",Consolidated!B567&amp;"|"&amp;TEXT(Consolidated!C567,"yyyymmdd"))</f>
        <v>Card|20260722</v>
      </c>
      <c r="D564" s="0" t="str">
        <f aca="false">IF(Consolidated!I567="","",Consolidated!I567)</f>
        <v/>
      </c>
    </row>
    <row r="565" customFormat="false" ht="15" hidden="false" customHeight="false" outlineLevel="0" collapsed="false">
      <c r="A565" s="0" t="str">
        <f aca="false">IF(Consolidated!B568="","",Consolidated!B568&amp;"|"&amp;TEXT(Consolidated!C568,"yyyymmdd")&amp;"|"&amp;HOUR(Consolidated!D568))</f>
        <v>Card|20260722|18</v>
      </c>
      <c r="B565" s="0" t="str">
        <f aca="false">IF(Consolidated!B568="","",SUBSTITUTE(SUBSTITUTE(TEXT(Consolidated!D568,"h:mm AM/PM")," AM","a")," PM","p")&amp;IF(Consolidated!E568="",""," "&amp;Consolidated!E568)&amp;IF(Consolidated!H568="",""," "&amp;Consolidated!H568))</f>
        <v>6:00p ASAP</v>
      </c>
      <c r="C565" s="0" t="str">
        <f aca="false">IF(Consolidated!B568="","",Consolidated!B568&amp;"|"&amp;TEXT(Consolidated!C568,"yyyymmdd"))</f>
        <v>Card|20260722</v>
      </c>
      <c r="D565" s="0" t="str">
        <f aca="false">IF(Consolidated!I568="","",Consolidated!I568)</f>
        <v/>
      </c>
    </row>
    <row r="566" customFormat="false" ht="15" hidden="false" customHeight="false" outlineLevel="0" collapsed="false">
      <c r="A566" s="0" t="str">
        <f aca="false">IF(Consolidated!B569="","",Consolidated!B569&amp;"|"&amp;TEXT(Consolidated!C569,"yyyymmdd")&amp;"|"&amp;HOUR(Consolidated!D569))</f>
        <v>FE|20260722|10</v>
      </c>
      <c r="B566" s="0" t="str">
        <f aca="false">IF(Consolidated!B569="","",SUBSTITUTE(SUBSTITUTE(TEXT(Consolidated!D569,"h:mm AM/PM")," AM","a")," PM","p")&amp;IF(Consolidated!E569="",""," "&amp;Consolidated!E569)&amp;IF(Consolidated!H569="",""," "&amp;Consolidated!H569))</f>
        <v>10:00a E-C-M AMs</v>
      </c>
      <c r="C566" s="0" t="str">
        <f aca="false">IF(Consolidated!B569="","",Consolidated!B569&amp;"|"&amp;TEXT(Consolidated!C569,"yyyymmdd"))</f>
        <v>FE|20260722</v>
      </c>
      <c r="D566" s="0" t="str">
        <f aca="false">IF(Consolidated!I569="","",Consolidated!I569)</f>
        <v/>
      </c>
    </row>
    <row r="567" customFormat="false" ht="15" hidden="false" customHeight="false" outlineLevel="0" collapsed="false">
      <c r="A567" s="0" t="str">
        <f aca="false">IF(Consolidated!B570="","",Consolidated!B570&amp;"|"&amp;TEXT(Consolidated!C570,"yyyymmdd")&amp;"|"&amp;HOUR(Consolidated!D570))</f>
        <v>FE|20260722|11</v>
      </c>
      <c r="B567" s="0" t="str">
        <f aca="false">IF(Consolidated!B570="","",SUBSTITUTE(SUBSTITUTE(TEXT(Consolidated!D570,"h:mm AM/PM")," AM","a")," PM","p")&amp;IF(Consolidated!E570="",""," "&amp;Consolidated!E570)&amp;IF(Consolidated!H570="",""," "&amp;Consolidated!H570))</f>
        <v>11:30a P AMs</v>
      </c>
      <c r="C567" s="0" t="str">
        <f aca="false">IF(Consolidated!B570="","",Consolidated!B570&amp;"|"&amp;TEXT(Consolidated!C570,"yyyymmdd"))</f>
        <v>FE|20260722</v>
      </c>
      <c r="D567" s="0" t="str">
        <f aca="false">IF(Consolidated!I570="","",Consolidated!I570)</f>
        <v/>
      </c>
    </row>
    <row r="568" customFormat="false" ht="15" hidden="false" customHeight="false" outlineLevel="0" collapsed="false">
      <c r="A568" s="0" t="str">
        <f aca="false">IF(Consolidated!B571="","",Consolidated!B571&amp;"|"&amp;TEXT(Consolidated!C571,"yyyymmdd")&amp;"|"&amp;HOUR(Consolidated!D571))</f>
        <v>FE|20260722|12</v>
      </c>
      <c r="B568" s="0" t="str">
        <f aca="false">IF(Consolidated!B571="","",SUBSTITUTE(SUBSTITUTE(TEXT(Consolidated!D571,"h:mm AM/PM")," AM","a")," PM","p")&amp;IF(Consolidated!E571="",""," "&amp;Consolidated!E571)&amp;IF(Consolidated!H571="",""," "&amp;Consolidated!H571))</f>
        <v>12:30p Branch</v>
      </c>
      <c r="C568" s="0" t="str">
        <f aca="false">IF(Consolidated!B571="","",Consolidated!B571&amp;"|"&amp;TEXT(Consolidated!C571,"yyyymmdd"))</f>
        <v>FE|20260722</v>
      </c>
      <c r="D568" s="0" t="str">
        <f aca="false">IF(Consolidated!I571="","",Consolidated!I571)</f>
        <v/>
      </c>
    </row>
    <row r="569" customFormat="false" ht="15" hidden="false" customHeight="false" outlineLevel="0" collapsed="false">
      <c r="A569" s="0" t="str">
        <f aca="false">IF(Consolidated!B572="","",Consolidated!B572&amp;"|"&amp;TEXT(Consolidated!C572,"yyyymmdd")&amp;"|"&amp;HOUR(Consolidated!D572))</f>
        <v>FE|20260722|13</v>
      </c>
      <c r="B569" s="0" t="str">
        <f aca="false">IF(Consolidated!B572="","",SUBSTITUTE(SUBSTITUTE(TEXT(Consolidated!D572,"h:mm AM/PM")," AM","a")," PM","p")&amp;IF(Consolidated!E572="",""," "&amp;Consolidated!E572)&amp;IF(Consolidated!H572="",""," "&amp;Consolidated!H572))</f>
        <v>1:30p WFO</v>
      </c>
      <c r="C569" s="0" t="str">
        <f aca="false">IF(Consolidated!B572="","",Consolidated!B572&amp;"|"&amp;TEXT(Consolidated!C572,"yyyymmdd"))</f>
        <v>FE|20260722</v>
      </c>
      <c r="D569" s="0" t="str">
        <f aca="false">IF(Consolidated!I572="","",Consolidated!I572)</f>
        <v/>
      </c>
    </row>
    <row r="570" customFormat="false" ht="15" hidden="false" customHeight="false" outlineLevel="0" collapsed="false">
      <c r="A570" s="0" t="str">
        <f aca="false">IF(Consolidated!B573="","",Consolidated!B573&amp;"|"&amp;TEXT(Consolidated!C573,"yyyymmdd")&amp;"|"&amp;HOUR(Consolidated!D573))</f>
        <v>FE|20260722|17</v>
      </c>
      <c r="B570" s="0" t="str">
        <f aca="false">IF(Consolidated!B573="","",SUBSTITUTE(SUBSTITUTE(TEXT(Consolidated!D573,"h:mm AM/PM")," AM","a")," PM","p")&amp;IF(Consolidated!E573="",""," "&amp;Consolidated!E573)&amp;IF(Consolidated!H573="",""," "&amp;Consolidated!H573))</f>
        <v>5:00p Blitz</v>
      </c>
      <c r="C570" s="0" t="str">
        <f aca="false">IF(Consolidated!B573="","",Consolidated!B573&amp;"|"&amp;TEXT(Consolidated!C573,"yyyymmdd"))</f>
        <v>FE|20260722</v>
      </c>
      <c r="D570" s="0" t="str">
        <f aca="false">IF(Consolidated!I573="","",Consolidated!I573)</f>
        <v/>
      </c>
    </row>
    <row r="571" customFormat="false" ht="15" hidden="false" customHeight="false" outlineLevel="0" collapsed="false">
      <c r="A571" s="0" t="str">
        <f aca="false">IF(Consolidated!B574="","",Consolidated!B574&amp;"|"&amp;TEXT(Consolidated!C574,"yyyymmdd")&amp;"|"&amp;HOUR(Consolidated!D574))</f>
        <v>FE|20260722|20</v>
      </c>
      <c r="B571" s="0" t="str">
        <f aca="false">IF(Consolidated!B574="","",SUBSTITUTE(SUBSTITUTE(TEXT(Consolidated!D574,"h:mm AM/PM")," AM","a")," PM","p")&amp;IF(Consolidated!E574="",""," "&amp;Consolidated!E574)&amp;IF(Consolidated!H574="",""," "&amp;Consolidated!H574))</f>
        <v>8:00p TSC (All)</v>
      </c>
      <c r="C571" s="0" t="str">
        <f aca="false">IF(Consolidated!B574="","",Consolidated!B574&amp;"|"&amp;TEXT(Consolidated!C574,"yyyymmdd"))</f>
        <v>FE|20260722</v>
      </c>
      <c r="D571" s="0" t="str">
        <f aca="false">IF(Consolidated!I574="","",Consolidated!I574)</f>
        <v/>
      </c>
    </row>
    <row r="572" customFormat="false" ht="15" hidden="false" customHeight="false" outlineLevel="0" collapsed="false">
      <c r="A572" s="0" t="str">
        <f aca="false">IF(Consolidated!B575="","",Consolidated!B575&amp;"|"&amp;TEXT(Consolidated!C575,"yyyymmdd")&amp;"|"&amp;HOUR(Consolidated!D575))</f>
        <v>PCO|20260722|8</v>
      </c>
      <c r="B572" s="0" t="str">
        <f aca="false">IF(Consolidated!B575="","",SUBSTITUTE(SUBSTITUTE(TEXT(Consolidated!D575,"h:mm AM/PM")," AM","a")," PM","p")&amp;IF(Consolidated!E575="",""," "&amp;Consolidated!E575)&amp;IF(Consolidated!H575="",""," "&amp;Consolidated!H575))</f>
        <v>8:15a E AMs</v>
      </c>
      <c r="C572" s="0" t="str">
        <f aca="false">IF(Consolidated!B575="","",Consolidated!B575&amp;"|"&amp;TEXT(Consolidated!C575,"yyyymmdd"))</f>
        <v>PCO|20260722</v>
      </c>
      <c r="D572" s="0" t="str">
        <f aca="false">IF(Consolidated!I575="","",Consolidated!I575)</f>
        <v/>
      </c>
    </row>
    <row r="573" customFormat="false" ht="15" hidden="false" customHeight="false" outlineLevel="0" collapsed="false">
      <c r="A573" s="0" t="str">
        <f aca="false">IF(Consolidated!B576="","",Consolidated!B576&amp;"|"&amp;TEXT(Consolidated!C576,"yyyymmdd")&amp;"|"&amp;HOUR(Consolidated!D576))</f>
        <v>PCO|20260722|11</v>
      </c>
      <c r="B573" s="0" t="str">
        <f aca="false">IF(Consolidated!B576="","",SUBSTITUTE(SUBSTITUTE(TEXT(Consolidated!D576,"h:mm AM/PM")," AM","a")," PM","p")&amp;IF(Consolidated!E576="",""," "&amp;Consolidated!E576)&amp;IF(Consolidated!H576="",""," "&amp;Consolidated!H576))</f>
        <v>11:15a C-M-P AMs</v>
      </c>
      <c r="C573" s="0" t="str">
        <f aca="false">IF(Consolidated!B576="","",Consolidated!B576&amp;"|"&amp;TEXT(Consolidated!C576,"yyyymmdd"))</f>
        <v>PCO|20260722</v>
      </c>
      <c r="D573" s="0" t="str">
        <f aca="false">IF(Consolidated!I576="","",Consolidated!I576)</f>
        <v/>
      </c>
    </row>
    <row r="574" customFormat="false" ht="15" hidden="false" customHeight="false" outlineLevel="0" collapsed="false">
      <c r="A574" s="0" t="str">
        <f aca="false">IF(Consolidated!B577="","",Consolidated!B577&amp;"|"&amp;TEXT(Consolidated!C577,"yyyymmdd")&amp;"|"&amp;HOUR(Consolidated!D577))</f>
        <v>PCO|20260722|13</v>
      </c>
      <c r="B574" s="0" t="str">
        <f aca="false">IF(Consolidated!B577="","",SUBSTITUTE(SUBSTITUTE(TEXT(Consolidated!D577,"h:mm AM/PM")," AM","a")," PM","p")&amp;IF(Consolidated!E577="",""," "&amp;Consolidated!E577)&amp;IF(Consolidated!H577="",""," "&amp;Consolidated!H577))</f>
        <v>1:00p WFO</v>
      </c>
      <c r="C574" s="0" t="str">
        <f aca="false">IF(Consolidated!B577="","",Consolidated!B577&amp;"|"&amp;TEXT(Consolidated!C577,"yyyymmdd"))</f>
        <v>PCO|20260722</v>
      </c>
      <c r="D574" s="0" t="str">
        <f aca="false">IF(Consolidated!I577="","",Consolidated!I577)</f>
        <v/>
      </c>
    </row>
    <row r="575" customFormat="false" ht="15" hidden="false" customHeight="false" outlineLevel="0" collapsed="false">
      <c r="A575" s="0" t="str">
        <f aca="false">IF(Consolidated!B578="","",Consolidated!B578&amp;"|"&amp;TEXT(Consolidated!C578,"yyyymmdd")&amp;"|"&amp;HOUR(Consolidated!D578))</f>
        <v>PCO|20260722|15</v>
      </c>
      <c r="B575" s="0" t="str">
        <f aca="false">IF(Consolidated!B578="","",SUBSTITUTE(SUBSTITUTE(TEXT(Consolidated!D578,"h:mm AM/PM")," AM","a")," PM","p")&amp;IF(Consolidated!E578="",""," "&amp;Consolidated!E578)&amp;IF(Consolidated!H578="",""," "&amp;Consolidated!H578))</f>
        <v>3:00p All</v>
      </c>
      <c r="C575" s="0" t="str">
        <f aca="false">IF(Consolidated!B578="","",Consolidated!B578&amp;"|"&amp;TEXT(Consolidated!C578,"yyyymmdd"))</f>
        <v>PCO|20260722</v>
      </c>
      <c r="D575" s="0" t="str">
        <f aca="false">IF(Consolidated!I578="","",Consolidated!I578)</f>
        <v/>
      </c>
    </row>
    <row r="576" customFormat="false" ht="15" hidden="false" customHeight="false" outlineLevel="0" collapsed="false">
      <c r="A576" s="0" t="str">
        <f aca="false">IF(Consolidated!B579="","",Consolidated!B579&amp;"|"&amp;TEXT(Consolidated!C579,"yyyymmdd")&amp;"|"&amp;HOUR(Consolidated!D579))</f>
        <v>PCO|20260722|20</v>
      </c>
      <c r="B576" s="0" t="str">
        <f aca="false">IF(Consolidated!B579="","",SUBSTITUTE(SUBSTITUTE(TEXT(Consolidated!D579,"h:mm AM/PM")," AM","a")," PM","p")&amp;IF(Consolidated!E579="",""," "&amp;Consolidated!E579)&amp;IF(Consolidated!H579="",""," "&amp;Consolidated!H579))</f>
        <v>8:00p TSC (All)</v>
      </c>
      <c r="C576" s="0" t="str">
        <f aca="false">IF(Consolidated!B579="","",Consolidated!B579&amp;"|"&amp;TEXT(Consolidated!C579,"yyyymmdd"))</f>
        <v>PCO|20260722</v>
      </c>
      <c r="D576" s="0" t="str">
        <f aca="false">IF(Consolidated!I579="","",Consolidated!I579)</f>
        <v/>
      </c>
    </row>
    <row r="577" customFormat="false" ht="15" hidden="false" customHeight="false" outlineLevel="0" collapsed="false">
      <c r="A577" s="0" t="str">
        <f aca="false">IF(Consolidated!B580="","",Consolidated!B580&amp;"|"&amp;TEXT(Consolidated!C580,"yyyymmdd")&amp;"|"&amp;HOUR(Consolidated!D580))</f>
        <v>Repo|20260722|8</v>
      </c>
      <c r="B577" s="0" t="str">
        <f aca="false">IF(Consolidated!B580="","",SUBSTITUTE(SUBSTITUTE(TEXT(Consolidated!D580,"h:mm AM/PM")," AM","a")," PM","p")&amp;IF(Consolidated!E580="",""," "&amp;Consolidated!E580)&amp;IF(Consolidated!H580="",""," "&amp;Consolidated!H580))</f>
        <v>8:15a Repo</v>
      </c>
      <c r="C577" s="0" t="str">
        <f aca="false">IF(Consolidated!B580="","",Consolidated!B580&amp;"|"&amp;TEXT(Consolidated!C580,"yyyymmdd"))</f>
        <v>Repo|20260722</v>
      </c>
      <c r="D577" s="0" t="str">
        <f aca="false">IF(Consolidated!I580="","",Consolidated!I580)</f>
        <v>AM Daily</v>
      </c>
    </row>
    <row r="578" customFormat="false" ht="15" hidden="false" customHeight="false" outlineLevel="0" collapsed="false">
      <c r="A578" s="0" t="str">
        <f aca="false">IF(Consolidated!B581="","",Consolidated!B581&amp;"|"&amp;TEXT(Consolidated!C581,"yyyymmdd")&amp;"|"&amp;HOUR(Consolidated!D581))</f>
        <v>Repo|20260722|10</v>
      </c>
      <c r="B578" s="0" t="str">
        <f aca="false">IF(Consolidated!B581="","",SUBSTITUTE(SUBSTITUTE(TEXT(Consolidated!D581,"h:mm AM/PM")," AM","a")," PM","p")&amp;IF(Consolidated!E581="",""," "&amp;Consolidated!E581)&amp;IF(Consolidated!H581="",""," "&amp;Consolidated!H581))</f>
        <v>10:00a Repo</v>
      </c>
      <c r="C578" s="0" t="str">
        <f aca="false">IF(Consolidated!B581="","",Consolidated!B581&amp;"|"&amp;TEXT(Consolidated!C581,"yyyymmdd"))</f>
        <v>Repo|20260722</v>
      </c>
      <c r="D578" s="0" t="str">
        <f aca="false">IF(Consolidated!I581="","",Consolidated!I581)</f>
        <v/>
      </c>
    </row>
    <row r="579" customFormat="false" ht="15" hidden="false" customHeight="false" outlineLevel="0" collapsed="false">
      <c r="A579" s="0" t="str">
        <f aca="false">IF(Consolidated!B582="","",Consolidated!B582&amp;"|"&amp;TEXT(Consolidated!C582,"yyyymmdd")&amp;"|"&amp;HOUR(Consolidated!D582))</f>
        <v>Repo|20260722|11</v>
      </c>
      <c r="B579" s="0" t="str">
        <f aca="false">IF(Consolidated!B582="","",SUBSTITUTE(SUBSTITUTE(TEXT(Consolidated!D582,"h:mm AM/PM")," AM","a")," PM","p")&amp;IF(Consolidated!E582="",""," "&amp;Consolidated!E582)&amp;IF(Consolidated!H582="",""," "&amp;Consolidated!H582))</f>
        <v>11:00a RP</v>
      </c>
      <c r="C579" s="0" t="str">
        <f aca="false">IF(Consolidated!B582="","",Consolidated!B582&amp;"|"&amp;TEXT(Consolidated!C582,"yyyymmdd"))</f>
        <v>Repo|20260722</v>
      </c>
      <c r="D579" s="0" t="str">
        <f aca="false">IF(Consolidated!I582="","",Consolidated!I582)</f>
        <v/>
      </c>
    </row>
    <row r="580" customFormat="false" ht="15" hidden="false" customHeight="false" outlineLevel="0" collapsed="false">
      <c r="A580" s="0" t="str">
        <f aca="false">IF(Consolidated!B583="","",Consolidated!B583&amp;"|"&amp;TEXT(Consolidated!C583,"yyyymmdd")&amp;"|"&amp;HOUR(Consolidated!D583))</f>
        <v>Repo|20260722|14</v>
      </c>
      <c r="B580" s="0" t="str">
        <f aca="false">IF(Consolidated!B583="","",SUBSTITUTE(SUBSTITUTE(TEXT(Consolidated!D583,"h:mm AM/PM")," AM","a")," PM","p")&amp;IF(Consolidated!E583="",""," "&amp;Consolidated!E583)&amp;IF(Consolidated!H583="",""," "&amp;Consolidated!H583))</f>
        <v>2:00p Repo</v>
      </c>
      <c r="C580" s="0" t="str">
        <f aca="false">IF(Consolidated!B583="","",Consolidated!B583&amp;"|"&amp;TEXT(Consolidated!C583,"yyyymmdd"))</f>
        <v>Repo|20260722</v>
      </c>
      <c r="D580" s="0" t="str">
        <f aca="false">IF(Consolidated!I583="","",Consolidated!I583)</f>
        <v/>
      </c>
    </row>
    <row r="581" customFormat="false" ht="15" hidden="false" customHeight="false" outlineLevel="0" collapsed="false">
      <c r="A581" s="0" t="str">
        <f aca="false">IF(Consolidated!B584="","",Consolidated!B584&amp;"|"&amp;TEXT(Consolidated!C584,"yyyymmdd")&amp;"|"&amp;HOUR(Consolidated!D584))</f>
        <v>ARC|20260723|10</v>
      </c>
      <c r="B581" s="0" t="str">
        <f aca="false">IF(Consolidated!B584="","",SUBSTITUTE(SUBSTITUTE(TEXT(Consolidated!D584,"h:mm AM/PM")," AM","a")," PM","p")&amp;IF(Consolidated!E584="",""," "&amp;Consolidated!E584)&amp;IF(Consolidated!H584="",""," "&amp;Consolidated!H584))</f>
        <v>10:00a NCs</v>
      </c>
      <c r="C581" s="0" t="str">
        <f aca="false">IF(Consolidated!B584="","",Consolidated!B584&amp;"|"&amp;TEXT(Consolidated!C584,"yyyymmdd"))</f>
        <v>ARC|20260723</v>
      </c>
      <c r="D581" s="0" t="str">
        <f aca="false">IF(Consolidated!I584="","",Consolidated!I584)</f>
        <v>Hit Priority  / Strat 7 / APP</v>
      </c>
    </row>
    <row r="582" customFormat="false" ht="15" hidden="false" customHeight="false" outlineLevel="0" collapsed="false">
      <c r="A582" s="0" t="str">
        <f aca="false">IF(Consolidated!B585="","",Consolidated!B585&amp;"|"&amp;TEXT(Consolidated!C585,"yyyymmdd")&amp;"|"&amp;HOUR(Consolidated!D585))</f>
        <v>ARC|20260723|15</v>
      </c>
      <c r="B582" s="0" t="str">
        <f aca="false">IF(Consolidated!B585="","",SUBSTITUTE(SUBSTITUTE(TEXT(Consolidated!D585,"h:mm AM/PM")," AM","a")," PM","p")&amp;IF(Consolidated!E585="",""," "&amp;Consolidated!E585)&amp;IF(Consolidated!H585="",""," "&amp;Consolidated!H585))</f>
        <v>3:00p All</v>
      </c>
      <c r="C582" s="0" t="str">
        <f aca="false">IF(Consolidated!B585="","",Consolidated!B585&amp;"|"&amp;TEXT(Consolidated!C585,"yyyymmdd"))</f>
        <v>ARC|20260723</v>
      </c>
      <c r="D582" s="0" t="str">
        <f aca="false">IF(Consolidated!I585="","",Consolidated!I585)</f>
        <v>Hit Priority  / Strat 7 / APP</v>
      </c>
    </row>
    <row r="583" customFormat="false" ht="15" hidden="false" customHeight="false" outlineLevel="0" collapsed="false">
      <c r="A583" s="0" t="str">
        <f aca="false">IF(Consolidated!B586="","",Consolidated!B586&amp;"|"&amp;TEXT(Consolidated!C586,"yyyymmdd")&amp;"|"&amp;HOUR(Consolidated!D586))</f>
        <v>Auto|20260723|8</v>
      </c>
      <c r="B583" s="0" t="str">
        <f aca="false">IF(Consolidated!B586="","",SUBSTITUTE(SUBSTITUTE(TEXT(Consolidated!D586,"h:mm AM/PM")," AM","a")," PM","p")&amp;IF(Consolidated!E586="",""," "&amp;Consolidated!E586)&amp;IF(Consolidated!H586="",""," "&amp;Consolidated!H586))</f>
        <v>8:30a E</v>
      </c>
      <c r="C583" s="0" t="str">
        <f aca="false">IF(Consolidated!B586="","",Consolidated!B586&amp;"|"&amp;TEXT(Consolidated!C586,"yyyymmdd"))</f>
        <v>Auto|20260723</v>
      </c>
      <c r="D583" s="0" t="str">
        <f aca="false">IF(Consolidated!I586="","",Consolidated!I586)</f>
        <v>Slowpay AM Daily</v>
      </c>
    </row>
    <row r="584" customFormat="false" ht="15" hidden="false" customHeight="false" outlineLevel="0" collapsed="false">
      <c r="A584" s="0" t="str">
        <f aca="false">IF(Consolidated!B587="","",Consolidated!B587&amp;"|"&amp;TEXT(Consolidated!C587,"yyyymmdd")&amp;"|"&amp;HOUR(Consolidated!D587))</f>
        <v>Auto|20260723|11</v>
      </c>
      <c r="B584" s="0" t="str">
        <f aca="false">IF(Consolidated!B587="","",SUBSTITUTE(SUBSTITUTE(TEXT(Consolidated!D587,"h:mm AM/PM")," AM","a")," PM","p")&amp;IF(Consolidated!E587="",""," "&amp;Consolidated!E587)&amp;IF(Consolidated!H587="",""," "&amp;Consolidated!H587))</f>
        <v>11:30a C-M-P</v>
      </c>
      <c r="C584" s="0" t="str">
        <f aca="false">IF(Consolidated!B587="","",Consolidated!B587&amp;"|"&amp;TEXT(Consolidated!C587,"yyyymmdd"))</f>
        <v>Auto|20260723</v>
      </c>
      <c r="D584" s="0" t="str">
        <f aca="false">IF(Consolidated!I587="","",Consolidated!I587)</f>
        <v/>
      </c>
    </row>
    <row r="585" customFormat="false" ht="15" hidden="false" customHeight="false" outlineLevel="0" collapsed="false">
      <c r="A585" s="0" t="str">
        <f aca="false">IF(Consolidated!B588="","",Consolidated!B588&amp;"|"&amp;TEXT(Consolidated!C588,"yyyymmdd")&amp;"|"&amp;HOUR(Consolidated!D588))</f>
        <v>Auto|20260723|13</v>
      </c>
      <c r="B585" s="0" t="str">
        <f aca="false">IF(Consolidated!B588="","",SUBSTITUTE(SUBSTITUTE(TEXT(Consolidated!D588,"h:mm AM/PM")," AM","a")," PM","p")&amp;IF(Consolidated!E588="",""," "&amp;Consolidated!E588)&amp;IF(Consolidated!H588="",""," "&amp;Consolidated!H588))</f>
        <v>1:30p WFO</v>
      </c>
      <c r="C585" s="0" t="str">
        <f aca="false">IF(Consolidated!B588="","",Consolidated!B588&amp;"|"&amp;TEXT(Consolidated!C588,"yyyymmdd"))</f>
        <v>Auto|20260723</v>
      </c>
      <c r="D585" s="0" t="str">
        <f aca="false">IF(Consolidated!I588="","",Consolidated!I588)</f>
        <v/>
      </c>
    </row>
    <row r="586" customFormat="false" ht="15" hidden="false" customHeight="false" outlineLevel="0" collapsed="false">
      <c r="A586" s="0" t="str">
        <f aca="false">IF(Consolidated!B589="","",Consolidated!B589&amp;"|"&amp;TEXT(Consolidated!C589,"yyyymmdd")&amp;"|"&amp;HOUR(Consolidated!D589))</f>
        <v>Auto|20260723|14</v>
      </c>
      <c r="B586" s="0" t="str">
        <f aca="false">IF(Consolidated!B589="","",SUBSTITUTE(SUBSTITUTE(TEXT(Consolidated!D589,"h:mm AM/PM")," AM","a")," PM","p")&amp;IF(Consolidated!E589="",""," "&amp;Consolidated!E589)&amp;IF(Consolidated!H589="",""," "&amp;Consolidated!H589))</f>
        <v>2:30p All</v>
      </c>
      <c r="C586" s="0" t="str">
        <f aca="false">IF(Consolidated!B589="","",Consolidated!B589&amp;"|"&amp;TEXT(Consolidated!C589,"yyyymmdd"))</f>
        <v>Auto|20260723</v>
      </c>
      <c r="D586" s="0" t="str">
        <f aca="false">IF(Consolidated!I589="","",Consolidated!I589)</f>
        <v/>
      </c>
    </row>
    <row r="587" customFormat="false" ht="15" hidden="false" customHeight="false" outlineLevel="0" collapsed="false">
      <c r="A587" s="0" t="str">
        <f aca="false">IF(Consolidated!B590="","",Consolidated!B590&amp;"|"&amp;TEXT(Consolidated!C590,"yyyymmdd")&amp;"|"&amp;HOUR(Consolidated!D590))</f>
        <v>Auto|20260723|16</v>
      </c>
      <c r="B587" s="0" t="str">
        <f aca="false">IF(Consolidated!B590="","",SUBSTITUTE(SUBSTITUTE(TEXT(Consolidated!D590,"h:mm AM/PM")," AM","a")," PM","p")&amp;IF(Consolidated!E590="",""," "&amp;Consolidated!E590)&amp;IF(Consolidated!H590="",""," "&amp;Consolidated!H590))</f>
        <v>4:00p All</v>
      </c>
      <c r="C587" s="0" t="str">
        <f aca="false">IF(Consolidated!B590="","",Consolidated!B590&amp;"|"&amp;TEXT(Consolidated!C590,"yyyymmdd"))</f>
        <v>Auto|20260723</v>
      </c>
      <c r="D587" s="0" t="str">
        <f aca="false">IF(Consolidated!I590="","",Consolidated!I590)</f>
        <v/>
      </c>
    </row>
    <row r="588" customFormat="false" ht="15" hidden="false" customHeight="false" outlineLevel="0" collapsed="false">
      <c r="A588" s="0" t="str">
        <f aca="false">IF(Consolidated!B591="","",Consolidated!B591&amp;"|"&amp;TEXT(Consolidated!C591,"yyyymmdd")&amp;"|"&amp;HOUR(Consolidated!D591))</f>
        <v>Auto|20260723|20</v>
      </c>
      <c r="B588" s="0" t="str">
        <f aca="false">IF(Consolidated!B591="","",SUBSTITUTE(SUBSTITUTE(TEXT(Consolidated!D591,"h:mm AM/PM")," AM","a")," PM","p")&amp;IF(Consolidated!E591="",""," "&amp;Consolidated!E591)&amp;IF(Consolidated!H591="",""," "&amp;Consolidated!H591))</f>
        <v>8:00p TSC (All)</v>
      </c>
      <c r="C588" s="0" t="str">
        <f aca="false">IF(Consolidated!B591="","",Consolidated!B591&amp;"|"&amp;TEXT(Consolidated!C591,"yyyymmdd"))</f>
        <v>Auto|20260723</v>
      </c>
      <c r="D588" s="0" t="str">
        <f aca="false">IF(Consolidated!I591="","",Consolidated!I591)</f>
        <v/>
      </c>
    </row>
    <row r="589" customFormat="false" ht="15" hidden="false" customHeight="false" outlineLevel="0" collapsed="false">
      <c r="A589" s="0" t="str">
        <f aca="false">IF(Consolidated!B592="","",Consolidated!B592&amp;"|"&amp;TEXT(Consolidated!C592,"yyyymmdd")&amp;"|"&amp;HOUR(Consolidated!D592))</f>
        <v>BE|20260723|10</v>
      </c>
      <c r="B589" s="0" t="str">
        <f aca="false">IF(Consolidated!B592="","",SUBSTITUTE(SUBSTITUTE(TEXT(Consolidated!D592,"h:mm AM/PM")," AM","a")," PM","p")&amp;IF(Consolidated!E592="",""," "&amp;Consolidated!E592)&amp;IF(Consolidated!H592="",""," "&amp;Consolidated!H592))</f>
        <v>10:00a E-C-M</v>
      </c>
      <c r="C589" s="0" t="str">
        <f aca="false">IF(Consolidated!B592="","",Consolidated!B592&amp;"|"&amp;TEXT(Consolidated!C592,"yyyymmdd"))</f>
        <v>BE|20260723</v>
      </c>
      <c r="D589" s="0" t="str">
        <f aca="false">IF(Consolidated!I592="","",Consolidated!I592)</f>
        <v/>
      </c>
    </row>
    <row r="590" customFormat="false" ht="15" hidden="false" customHeight="false" outlineLevel="0" collapsed="false">
      <c r="A590" s="0" t="str">
        <f aca="false">IF(Consolidated!B593="","",Consolidated!B593&amp;"|"&amp;TEXT(Consolidated!C593,"yyyymmdd")&amp;"|"&amp;HOUR(Consolidated!D593))</f>
        <v>BE|20260723|11</v>
      </c>
      <c r="B590" s="0" t="str">
        <f aca="false">IF(Consolidated!B593="","",SUBSTITUTE(SUBSTITUTE(TEXT(Consolidated!D593,"h:mm AM/PM")," AM","a")," PM","p")&amp;IF(Consolidated!E593="",""," "&amp;Consolidated!E593)&amp;IF(Consolidated!H593="",""," "&amp;Consolidated!H593))</f>
        <v>11:30a P</v>
      </c>
      <c r="C590" s="0" t="str">
        <f aca="false">IF(Consolidated!B593="","",Consolidated!B593&amp;"|"&amp;TEXT(Consolidated!C593,"yyyymmdd"))</f>
        <v>BE|20260723</v>
      </c>
      <c r="D590" s="0" t="str">
        <f aca="false">IF(Consolidated!I593="","",Consolidated!I593)</f>
        <v/>
      </c>
    </row>
    <row r="591" customFormat="false" ht="15" hidden="false" customHeight="false" outlineLevel="0" collapsed="false">
      <c r="A591" s="0" t="str">
        <f aca="false">IF(Consolidated!B594="","",Consolidated!B594&amp;"|"&amp;TEXT(Consolidated!C594,"yyyymmdd")&amp;"|"&amp;HOUR(Consolidated!D594))</f>
        <v>BE|20260723|13</v>
      </c>
      <c r="B591" s="0" t="str">
        <f aca="false">IF(Consolidated!B594="","",SUBSTITUTE(SUBSTITUTE(TEXT(Consolidated!D594,"h:mm AM/PM")," AM","a")," PM","p")&amp;IF(Consolidated!E594="",""," "&amp;Consolidated!E594)&amp;IF(Consolidated!H594="",""," "&amp;Consolidated!H594))</f>
        <v>1:00p WFO</v>
      </c>
      <c r="C591" s="0" t="str">
        <f aca="false">IF(Consolidated!B594="","",Consolidated!B594&amp;"|"&amp;TEXT(Consolidated!C594,"yyyymmdd"))</f>
        <v>BE|20260723</v>
      </c>
      <c r="D591" s="0" t="str">
        <f aca="false">IF(Consolidated!I594="","",Consolidated!I594)</f>
        <v/>
      </c>
    </row>
    <row r="592" customFormat="false" ht="15" hidden="false" customHeight="false" outlineLevel="0" collapsed="false">
      <c r="A592" s="0" t="str">
        <f aca="false">IF(Consolidated!B595="","",Consolidated!B595&amp;"|"&amp;TEXT(Consolidated!C595,"yyyymmdd")&amp;"|"&amp;HOUR(Consolidated!D595))</f>
        <v>BE|20260723|15</v>
      </c>
      <c r="B592" s="0" t="str">
        <f aca="false">IF(Consolidated!B595="","",SUBSTITUTE(SUBSTITUTE(TEXT(Consolidated!D595,"h:mm AM/PM")," AM","a")," PM","p")&amp;IF(Consolidated!E595="",""," "&amp;Consolidated!E595)&amp;IF(Consolidated!H595="",""," "&amp;Consolidated!H595))</f>
        <v>3:30p All</v>
      </c>
      <c r="C592" s="0" t="str">
        <f aca="false">IF(Consolidated!B595="","",Consolidated!B595&amp;"|"&amp;TEXT(Consolidated!C595,"yyyymmdd"))</f>
        <v>BE|20260723</v>
      </c>
      <c r="D592" s="0" t="str">
        <f aca="false">IF(Consolidated!I595="","",Consolidated!I595)</f>
        <v/>
      </c>
    </row>
    <row r="593" customFormat="false" ht="15" hidden="false" customHeight="false" outlineLevel="0" collapsed="false">
      <c r="A593" s="0" t="str">
        <f aca="false">IF(Consolidated!B596="","",Consolidated!B596&amp;"|"&amp;TEXT(Consolidated!C596,"yyyymmdd")&amp;"|"&amp;HOUR(Consolidated!D596))</f>
        <v>BE|20260723|17</v>
      </c>
      <c r="B593" s="0" t="str">
        <f aca="false">IF(Consolidated!B596="","",SUBSTITUTE(SUBSTITUTE(TEXT(Consolidated!D596,"h:mm AM/PM")," AM","a")," PM","p")&amp;IF(Consolidated!E596="",""," "&amp;Consolidated!E596)&amp;IF(Consolidated!H596="",""," "&amp;Consolidated!H596))</f>
        <v>5:00p All</v>
      </c>
      <c r="C593" s="0" t="str">
        <f aca="false">IF(Consolidated!B596="","",Consolidated!B596&amp;"|"&amp;TEXT(Consolidated!C596,"yyyymmdd"))</f>
        <v>BE|20260723</v>
      </c>
      <c r="D593" s="0" t="str">
        <f aca="false">IF(Consolidated!I596="","",Consolidated!I596)</f>
        <v/>
      </c>
    </row>
    <row r="594" customFormat="false" ht="15" hidden="false" customHeight="false" outlineLevel="0" collapsed="false">
      <c r="A594" s="0" t="str">
        <f aca="false">IF(Consolidated!B597="","",Consolidated!B597&amp;"|"&amp;TEXT(Consolidated!C597,"yyyymmdd")&amp;"|"&amp;HOUR(Consolidated!D597))</f>
        <v>BE|20260723|20</v>
      </c>
      <c r="B594" s="0" t="str">
        <f aca="false">IF(Consolidated!B597="","",SUBSTITUTE(SUBSTITUTE(TEXT(Consolidated!D597,"h:mm AM/PM")," AM","a")," PM","p")&amp;IF(Consolidated!E597="",""," "&amp;Consolidated!E597)&amp;IF(Consolidated!H597="",""," "&amp;Consolidated!H597))</f>
        <v>8:00p TSC (All)</v>
      </c>
      <c r="C594" s="0" t="str">
        <f aca="false">IF(Consolidated!B597="","",Consolidated!B597&amp;"|"&amp;TEXT(Consolidated!C597,"yyyymmdd"))</f>
        <v>BE|20260723</v>
      </c>
      <c r="D594" s="0" t="str">
        <f aca="false">IF(Consolidated!I597="","",Consolidated!I597)</f>
        <v/>
      </c>
    </row>
    <row r="595" customFormat="false" ht="15" hidden="false" customHeight="false" outlineLevel="0" collapsed="false">
      <c r="A595" s="0" t="str">
        <f aca="false">IF(Consolidated!B598="","",Consolidated!B598&amp;"|"&amp;TEXT(Consolidated!C598,"yyyymmdd")&amp;"|"&amp;HOUR(Consolidated!D598))</f>
        <v>Branch Central|20260723|12</v>
      </c>
      <c r="B595" s="0" t="str">
        <f aca="false">IF(Consolidated!B598="","",SUBSTITUTE(SUBSTITUTE(TEXT(Consolidated!D598,"h:mm AM/PM")," AM","a")," PM","p")&amp;IF(Consolidated!E598="",""," "&amp;Consolidated!E598)&amp;IF(Consolidated!H598="",""," "&amp;Consolidated!H598))</f>
        <v>12:30p E-C 1s &amp; Slow</v>
      </c>
      <c r="C595" s="0" t="str">
        <f aca="false">IF(Consolidated!B598="","",Consolidated!B598&amp;"|"&amp;TEXT(Consolidated!C598,"yyyymmdd"))</f>
        <v>Branch Central|20260723</v>
      </c>
      <c r="D595" s="0" t="str">
        <f aca="false">IF(Consolidated!I598="","",Consolidated!I598)</f>
        <v/>
      </c>
    </row>
    <row r="596" customFormat="false" ht="15" hidden="false" customHeight="false" outlineLevel="0" collapsed="false">
      <c r="A596" s="0" t="str">
        <f aca="false">IF(Consolidated!B599="","",Consolidated!B599&amp;"|"&amp;TEXT(Consolidated!C599,"yyyymmdd")&amp;"|"&amp;HOUR(Consolidated!D599))</f>
        <v>Branch Vendor|20260723|18</v>
      </c>
      <c r="B596" s="0" t="str">
        <f aca="false">IF(Consolidated!B599="","",SUBSTITUTE(SUBSTITUTE(TEXT(Consolidated!D599,"h:mm AM/PM")," AM","a")," PM","p")&amp;IF(Consolidated!E599="",""," "&amp;Consolidated!E599)&amp;IF(Consolidated!H599="",""," "&amp;Consolidated!H599))</f>
        <v>6:00p Vendor</v>
      </c>
      <c r="C596" s="0" t="str">
        <f aca="false">IF(Consolidated!B599="","",Consolidated!B599&amp;"|"&amp;TEXT(Consolidated!C599,"yyyymmdd"))</f>
        <v>Branch Vendor|20260723</v>
      </c>
      <c r="D596" s="0" t="str">
        <f aca="false">IF(Consolidated!I599="","",Consolidated!I599)</f>
        <v/>
      </c>
    </row>
    <row r="597" customFormat="false" ht="15" hidden="false" customHeight="false" outlineLevel="0" collapsed="false">
      <c r="A597" s="0" t="str">
        <f aca="false">IF(Consolidated!B600="","",Consolidated!B600&amp;"|"&amp;TEXT(Consolidated!C600,"yyyymmdd")&amp;"|"&amp;HOUR(Consolidated!D600))</f>
        <v>Card|20260723|8</v>
      </c>
      <c r="B597" s="0" t="str">
        <f aca="false">IF(Consolidated!B600="","",SUBSTITUTE(SUBSTITUTE(TEXT(Consolidated!D600,"h:mm AM/PM")," AM","a")," PM","p")&amp;IF(Consolidated!E600="",""," "&amp;Consolidated!E600)&amp;IF(Consolidated!H600="",""," "&amp;Consolidated!H600))</f>
        <v>8:00a</v>
      </c>
      <c r="C597" s="0" t="str">
        <f aca="false">IF(Consolidated!B600="","",Consolidated!B600&amp;"|"&amp;TEXT(Consolidated!C600,"yyyymmdd"))</f>
        <v>Card|20260723</v>
      </c>
      <c r="D597" s="0" t="str">
        <f aca="false">IF(Consolidated!I600="","",Consolidated!I600)</f>
        <v/>
      </c>
    </row>
    <row r="598" customFormat="false" ht="15" hidden="false" customHeight="false" outlineLevel="0" collapsed="false">
      <c r="A598" s="0" t="str">
        <f aca="false">IF(Consolidated!B601="","",Consolidated!B601&amp;"|"&amp;TEXT(Consolidated!C601,"yyyymmdd")&amp;"|"&amp;HOUR(Consolidated!D601))</f>
        <v>Card|20260723|12</v>
      </c>
      <c r="B598" s="0" t="str">
        <f aca="false">IF(Consolidated!B601="","",SUBSTITUTE(SUBSTITUTE(TEXT(Consolidated!D601,"h:mm AM/PM")," AM","a")," PM","p")&amp;IF(Consolidated!E601="",""," "&amp;Consolidated!E601)&amp;IF(Consolidated!H601="",""," "&amp;Consolidated!H601))</f>
        <v>12:00p</v>
      </c>
      <c r="C598" s="0" t="str">
        <f aca="false">IF(Consolidated!B601="","",Consolidated!B601&amp;"|"&amp;TEXT(Consolidated!C601,"yyyymmdd"))</f>
        <v>Card|20260723</v>
      </c>
      <c r="D598" s="0" t="str">
        <f aca="false">IF(Consolidated!I601="","",Consolidated!I601)</f>
        <v/>
      </c>
    </row>
    <row r="599" customFormat="false" ht="15" hidden="false" customHeight="false" outlineLevel="0" collapsed="false">
      <c r="A599" s="0" t="str">
        <f aca="false">IF(Consolidated!B602="","",Consolidated!B602&amp;"|"&amp;TEXT(Consolidated!C602,"yyyymmdd")&amp;"|"&amp;HOUR(Consolidated!D602))</f>
        <v>Card|20260723|14</v>
      </c>
      <c r="B599" s="0" t="str">
        <f aca="false">IF(Consolidated!B602="","",SUBSTITUTE(SUBSTITUTE(TEXT(Consolidated!D602,"h:mm AM/PM")," AM","a")," PM","p")&amp;IF(Consolidated!E602="",""," "&amp;Consolidated!E602)&amp;IF(Consolidated!H602="",""," "&amp;Consolidated!H602))</f>
        <v>2:00p ASAP</v>
      </c>
      <c r="C599" s="0" t="str">
        <f aca="false">IF(Consolidated!B602="","",Consolidated!B602&amp;"|"&amp;TEXT(Consolidated!C602,"yyyymmdd"))</f>
        <v>Card|20260723</v>
      </c>
      <c r="D599" s="0" t="str">
        <f aca="false">IF(Consolidated!I602="","",Consolidated!I602)</f>
        <v/>
      </c>
    </row>
    <row r="600" customFormat="false" ht="15" hidden="false" customHeight="false" outlineLevel="0" collapsed="false">
      <c r="A600" s="0" t="str">
        <f aca="false">IF(Consolidated!B603="","",Consolidated!B603&amp;"|"&amp;TEXT(Consolidated!C603,"yyyymmdd")&amp;"|"&amp;HOUR(Consolidated!D603))</f>
        <v>Card|20260723|16</v>
      </c>
      <c r="B600" s="0" t="str">
        <f aca="false">IF(Consolidated!B603="","",SUBSTITUTE(SUBSTITUTE(TEXT(Consolidated!D603,"h:mm AM/PM")," AM","a")," PM","p")&amp;IF(Consolidated!E603="",""," "&amp;Consolidated!E603)&amp;IF(Consolidated!H603="",""," "&amp;Consolidated!H603))</f>
        <v>4:00p ASAP</v>
      </c>
      <c r="C600" s="0" t="str">
        <f aca="false">IF(Consolidated!B603="","",Consolidated!B603&amp;"|"&amp;TEXT(Consolidated!C603,"yyyymmdd"))</f>
        <v>Card|20260723</v>
      </c>
      <c r="D600" s="0" t="str">
        <f aca="false">IF(Consolidated!I603="","",Consolidated!I603)</f>
        <v/>
      </c>
    </row>
    <row r="601" customFormat="false" ht="15" hidden="false" customHeight="false" outlineLevel="0" collapsed="false">
      <c r="A601" s="0" t="str">
        <f aca="false">IF(Consolidated!B604="","",Consolidated!B604&amp;"|"&amp;TEXT(Consolidated!C604,"yyyymmdd")&amp;"|"&amp;HOUR(Consolidated!D604))</f>
        <v>Card|20260723|18</v>
      </c>
      <c r="B601" s="0" t="str">
        <f aca="false">IF(Consolidated!B604="","",SUBSTITUTE(SUBSTITUTE(TEXT(Consolidated!D604,"h:mm AM/PM")," AM","a")," PM","p")&amp;IF(Consolidated!E604="",""," "&amp;Consolidated!E604)&amp;IF(Consolidated!H604="",""," "&amp;Consolidated!H604))</f>
        <v>6:00p ASAP</v>
      </c>
      <c r="C601" s="0" t="str">
        <f aca="false">IF(Consolidated!B604="","",Consolidated!B604&amp;"|"&amp;TEXT(Consolidated!C604,"yyyymmdd"))</f>
        <v>Card|20260723</v>
      </c>
      <c r="D601" s="0" t="str">
        <f aca="false">IF(Consolidated!I604="","",Consolidated!I604)</f>
        <v/>
      </c>
    </row>
    <row r="602" customFormat="false" ht="15" hidden="false" customHeight="false" outlineLevel="0" collapsed="false">
      <c r="A602" s="0" t="str">
        <f aca="false">IF(Consolidated!B605="","",Consolidated!B605&amp;"|"&amp;TEXT(Consolidated!C605,"yyyymmdd")&amp;"|"&amp;HOUR(Consolidated!D605))</f>
        <v>FE|20260723|9</v>
      </c>
      <c r="B602" s="0" t="str">
        <f aca="false">IF(Consolidated!B605="","",SUBSTITUTE(SUBSTITUTE(TEXT(Consolidated!D605,"h:mm AM/PM")," AM","a")," PM","p")&amp;IF(Consolidated!E605="",""," "&amp;Consolidated!E605)&amp;IF(Consolidated!H605="",""," "&amp;Consolidated!H605))</f>
        <v>9:15a E-C</v>
      </c>
      <c r="C602" s="0" t="str">
        <f aca="false">IF(Consolidated!B605="","",Consolidated!B605&amp;"|"&amp;TEXT(Consolidated!C605,"yyyymmdd"))</f>
        <v>FE|20260723</v>
      </c>
      <c r="D602" s="0" t="str">
        <f aca="false">IF(Consolidated!I605="","",Consolidated!I605)</f>
        <v/>
      </c>
    </row>
    <row r="603" customFormat="false" ht="15" hidden="false" customHeight="false" outlineLevel="0" collapsed="false">
      <c r="A603" s="0" t="str">
        <f aca="false">IF(Consolidated!B606="","",Consolidated!B606&amp;"|"&amp;TEXT(Consolidated!C606,"yyyymmdd")&amp;"|"&amp;HOUR(Consolidated!D606))</f>
        <v>FE|20260723|11</v>
      </c>
      <c r="B603" s="0" t="str">
        <f aca="false">IF(Consolidated!B606="","",SUBSTITUTE(SUBSTITUTE(TEXT(Consolidated!D606,"h:mm AM/PM")," AM","a")," PM","p")&amp;IF(Consolidated!E606="",""," "&amp;Consolidated!E606)&amp;IF(Consolidated!H606="",""," "&amp;Consolidated!H606))</f>
        <v>11:30a M-P</v>
      </c>
      <c r="C603" s="0" t="str">
        <f aca="false">IF(Consolidated!B606="","",Consolidated!B606&amp;"|"&amp;TEXT(Consolidated!C606,"yyyymmdd"))</f>
        <v>FE|20260723</v>
      </c>
      <c r="D603" s="0" t="str">
        <f aca="false">IF(Consolidated!I606="","",Consolidated!I606)</f>
        <v/>
      </c>
    </row>
    <row r="604" customFormat="false" ht="15" hidden="false" customHeight="false" outlineLevel="0" collapsed="false">
      <c r="A604" s="0" t="str">
        <f aca="false">IF(Consolidated!B607="","",Consolidated!B607&amp;"|"&amp;TEXT(Consolidated!C607,"yyyymmdd")&amp;"|"&amp;HOUR(Consolidated!D607))</f>
        <v>FE|20260723|12</v>
      </c>
      <c r="B604" s="0" t="str">
        <f aca="false">IF(Consolidated!B607="","",SUBSTITUTE(SUBSTITUTE(TEXT(Consolidated!D607,"h:mm AM/PM")," AM","a")," PM","p")&amp;IF(Consolidated!E607="",""," "&amp;Consolidated!E607)&amp;IF(Consolidated!H607="",""," "&amp;Consolidated!H607))</f>
        <v>12:30p Branch</v>
      </c>
      <c r="C604" s="0" t="str">
        <f aca="false">IF(Consolidated!B607="","",Consolidated!B607&amp;"|"&amp;TEXT(Consolidated!C607,"yyyymmdd"))</f>
        <v>FE|20260723</v>
      </c>
      <c r="D604" s="0" t="str">
        <f aca="false">IF(Consolidated!I607="","",Consolidated!I607)</f>
        <v/>
      </c>
    </row>
    <row r="605" customFormat="false" ht="15" hidden="false" customHeight="false" outlineLevel="0" collapsed="false">
      <c r="A605" s="0" t="str">
        <f aca="false">IF(Consolidated!B608="","",Consolidated!B608&amp;"|"&amp;TEXT(Consolidated!C608,"yyyymmdd")&amp;"|"&amp;HOUR(Consolidated!D608))</f>
        <v>FE|20260723|14</v>
      </c>
      <c r="B605" s="0" t="str">
        <f aca="false">IF(Consolidated!B608="","",SUBSTITUTE(SUBSTITUTE(TEXT(Consolidated!D608,"h:mm AM/PM")," AM","a")," PM","p")&amp;IF(Consolidated!E608="",""," "&amp;Consolidated!E608)&amp;IF(Consolidated!H608="",""," "&amp;Consolidated!H608))</f>
        <v>2:30p WFO</v>
      </c>
      <c r="C605" s="0" t="str">
        <f aca="false">IF(Consolidated!B608="","",Consolidated!B608&amp;"|"&amp;TEXT(Consolidated!C608,"yyyymmdd"))</f>
        <v>FE|20260723</v>
      </c>
      <c r="D605" s="0" t="str">
        <f aca="false">IF(Consolidated!I608="","",Consolidated!I608)</f>
        <v/>
      </c>
    </row>
    <row r="606" customFormat="false" ht="15" hidden="false" customHeight="false" outlineLevel="0" collapsed="false">
      <c r="A606" s="0" t="str">
        <f aca="false">IF(Consolidated!B609="","",Consolidated!B609&amp;"|"&amp;TEXT(Consolidated!C609,"yyyymmdd")&amp;"|"&amp;HOUR(Consolidated!D609))</f>
        <v>FE|20260723|16</v>
      </c>
      <c r="B606" s="0" t="str">
        <f aca="false">IF(Consolidated!B609="","",SUBSTITUTE(SUBSTITUTE(TEXT(Consolidated!D609,"h:mm AM/PM")," AM","a")," PM","p")&amp;IF(Consolidated!E609="",""," "&amp;Consolidated!E609)&amp;IF(Consolidated!H609="",""," "&amp;Consolidated!H609))</f>
        <v>4:00p All</v>
      </c>
      <c r="C606" s="0" t="str">
        <f aca="false">IF(Consolidated!B609="","",Consolidated!B609&amp;"|"&amp;TEXT(Consolidated!C609,"yyyymmdd"))</f>
        <v>FE|20260723</v>
      </c>
      <c r="D606" s="0" t="str">
        <f aca="false">IF(Consolidated!I609="","",Consolidated!I609)</f>
        <v/>
      </c>
    </row>
    <row r="607" customFormat="false" ht="15" hidden="false" customHeight="false" outlineLevel="0" collapsed="false">
      <c r="A607" s="0" t="str">
        <f aca="false">IF(Consolidated!B610="","",Consolidated!B610&amp;"|"&amp;TEXT(Consolidated!C610,"yyyymmdd")&amp;"|"&amp;HOUR(Consolidated!D610))</f>
        <v>FE|20260723|17</v>
      </c>
      <c r="B607" s="0" t="str">
        <f aca="false">IF(Consolidated!B610="","",SUBSTITUTE(SUBSTITUTE(TEXT(Consolidated!D610,"h:mm AM/PM")," AM","a")," PM","p")&amp;IF(Consolidated!E610="",""," "&amp;Consolidated!E610)&amp;IF(Consolidated!H610="",""," "&amp;Consolidated!H610))</f>
        <v>5:30p All</v>
      </c>
      <c r="C607" s="0" t="str">
        <f aca="false">IF(Consolidated!B610="","",Consolidated!B610&amp;"|"&amp;TEXT(Consolidated!C610,"yyyymmdd"))</f>
        <v>FE|20260723</v>
      </c>
      <c r="D607" s="0" t="str">
        <f aca="false">IF(Consolidated!I610="","",Consolidated!I610)</f>
        <v/>
      </c>
    </row>
    <row r="608" customFormat="false" ht="15" hidden="false" customHeight="false" outlineLevel="0" collapsed="false">
      <c r="A608" s="0" t="str">
        <f aca="false">IF(Consolidated!B611="","",Consolidated!B611&amp;"|"&amp;TEXT(Consolidated!C611,"yyyymmdd")&amp;"|"&amp;HOUR(Consolidated!D611))</f>
        <v>FE|20260723|20</v>
      </c>
      <c r="B608" s="0" t="str">
        <f aca="false">IF(Consolidated!B611="","",SUBSTITUTE(SUBSTITUTE(TEXT(Consolidated!D611,"h:mm AM/PM")," AM","a")," PM","p")&amp;IF(Consolidated!E611="",""," "&amp;Consolidated!E611)&amp;IF(Consolidated!H611="",""," "&amp;Consolidated!H611))</f>
        <v>8:00p TSC (All)</v>
      </c>
      <c r="C608" s="0" t="str">
        <f aca="false">IF(Consolidated!B611="","",Consolidated!B611&amp;"|"&amp;TEXT(Consolidated!C611,"yyyymmdd"))</f>
        <v>FE|20260723</v>
      </c>
      <c r="D608" s="0" t="str">
        <f aca="false">IF(Consolidated!I611="","",Consolidated!I611)</f>
        <v/>
      </c>
    </row>
    <row r="609" customFormat="false" ht="15" hidden="false" customHeight="false" outlineLevel="0" collapsed="false">
      <c r="A609" s="0" t="str">
        <f aca="false">IF(Consolidated!B612="","",Consolidated!B612&amp;"|"&amp;TEXT(Consolidated!C612,"yyyymmdd")&amp;"|"&amp;HOUR(Consolidated!D612))</f>
        <v>MOD|20260723|15</v>
      </c>
      <c r="B609" s="0" t="str">
        <f aca="false">IF(Consolidated!B612="","",SUBSTITUTE(SUBSTITUTE(TEXT(Consolidated!D612,"h:mm AM/PM")," AM","a")," PM","p")&amp;IF(Consolidated!E612="",""," "&amp;Consolidated!E612)&amp;IF(Consolidated!H612="",""," "&amp;Consolidated!H612))</f>
        <v>3:30p All</v>
      </c>
      <c r="C609" s="0" t="str">
        <f aca="false">IF(Consolidated!B612="","",Consolidated!B612&amp;"|"&amp;TEXT(Consolidated!C612,"yyyymmdd"))</f>
        <v>MOD|20260723</v>
      </c>
      <c r="D609" s="0" t="str">
        <f aca="false">IF(Consolidated!I612="","",Consolidated!I612)</f>
        <v>Preview (10 seconds)</v>
      </c>
    </row>
    <row r="610" customFormat="false" ht="15" hidden="false" customHeight="false" outlineLevel="0" collapsed="false">
      <c r="A610" s="0" t="str">
        <f aca="false">IF(Consolidated!B613="","",Consolidated!B613&amp;"|"&amp;TEXT(Consolidated!C613,"yyyymmdd")&amp;"|"&amp;HOUR(Consolidated!D613))</f>
        <v>PCO|20260723|8</v>
      </c>
      <c r="B610" s="0" t="str">
        <f aca="false">IF(Consolidated!B613="","",SUBSTITUTE(SUBSTITUTE(TEXT(Consolidated!D613,"h:mm AM/PM")," AM","a")," PM","p")&amp;IF(Consolidated!E613="",""," "&amp;Consolidated!E613)&amp;IF(Consolidated!H613="",""," "&amp;Consolidated!H613))</f>
        <v>8:30a E</v>
      </c>
      <c r="C610" s="0" t="str">
        <f aca="false">IF(Consolidated!B613="","",Consolidated!B613&amp;"|"&amp;TEXT(Consolidated!C613,"yyyymmdd"))</f>
        <v>PCO|20260723</v>
      </c>
      <c r="D610" s="0" t="str">
        <f aca="false">IF(Consolidated!I613="","",Consolidated!I613)</f>
        <v/>
      </c>
    </row>
    <row r="611" customFormat="false" ht="15" hidden="false" customHeight="false" outlineLevel="0" collapsed="false">
      <c r="A611" s="0" t="str">
        <f aca="false">IF(Consolidated!B614="","",Consolidated!B614&amp;"|"&amp;TEXT(Consolidated!C614,"yyyymmdd")&amp;"|"&amp;HOUR(Consolidated!D614))</f>
        <v>PCO|20260723|11</v>
      </c>
      <c r="B611" s="0" t="str">
        <f aca="false">IF(Consolidated!B614="","",SUBSTITUTE(SUBSTITUTE(TEXT(Consolidated!D614,"h:mm AM/PM")," AM","a")," PM","p")&amp;IF(Consolidated!E614="",""," "&amp;Consolidated!E614)&amp;IF(Consolidated!H614="",""," "&amp;Consolidated!H614))</f>
        <v>11:15a C-M-P</v>
      </c>
      <c r="C611" s="0" t="str">
        <f aca="false">IF(Consolidated!B614="","",Consolidated!B614&amp;"|"&amp;TEXT(Consolidated!C614,"yyyymmdd"))</f>
        <v>PCO|20260723</v>
      </c>
      <c r="D611" s="0" t="str">
        <f aca="false">IF(Consolidated!I614="","",Consolidated!I614)</f>
        <v/>
      </c>
    </row>
    <row r="612" customFormat="false" ht="15" hidden="false" customHeight="false" outlineLevel="0" collapsed="false">
      <c r="A612" s="0" t="str">
        <f aca="false">IF(Consolidated!B615="","",Consolidated!B615&amp;"|"&amp;TEXT(Consolidated!C615,"yyyymmdd")&amp;"|"&amp;HOUR(Consolidated!D615))</f>
        <v>PCO|20260723|13</v>
      </c>
      <c r="B612" s="0" t="str">
        <f aca="false">IF(Consolidated!B615="","",SUBSTITUTE(SUBSTITUTE(TEXT(Consolidated!D615,"h:mm AM/PM")," AM","a")," PM","p")&amp;IF(Consolidated!E615="",""," "&amp;Consolidated!E615)&amp;IF(Consolidated!H615="",""," "&amp;Consolidated!H615))</f>
        <v>1:00p WFO</v>
      </c>
      <c r="C612" s="0" t="str">
        <f aca="false">IF(Consolidated!B615="","",Consolidated!B615&amp;"|"&amp;TEXT(Consolidated!C615,"yyyymmdd"))</f>
        <v>PCO|20260723</v>
      </c>
      <c r="D612" s="0" t="str">
        <f aca="false">IF(Consolidated!I615="","",Consolidated!I615)</f>
        <v/>
      </c>
    </row>
    <row r="613" customFormat="false" ht="15" hidden="false" customHeight="false" outlineLevel="0" collapsed="false">
      <c r="A613" s="0" t="str">
        <f aca="false">IF(Consolidated!B616="","",Consolidated!B616&amp;"|"&amp;TEXT(Consolidated!C616,"yyyymmdd")&amp;"|"&amp;HOUR(Consolidated!D616))</f>
        <v>PCO|20260723|17</v>
      </c>
      <c r="B613" s="0" t="str">
        <f aca="false">IF(Consolidated!B616="","",SUBSTITUTE(SUBSTITUTE(TEXT(Consolidated!D616,"h:mm AM/PM")," AM","a")," PM","p")&amp;IF(Consolidated!E616="",""," "&amp;Consolidated!E616)&amp;IF(Consolidated!H616="",""," "&amp;Consolidated!H616))</f>
        <v>5:00p Blitz</v>
      </c>
      <c r="C613" s="0" t="str">
        <f aca="false">IF(Consolidated!B616="","",Consolidated!B616&amp;"|"&amp;TEXT(Consolidated!C616,"yyyymmdd"))</f>
        <v>PCO|20260723</v>
      </c>
      <c r="D613" s="0" t="str">
        <f aca="false">IF(Consolidated!I616="","",Consolidated!I616)</f>
        <v/>
      </c>
    </row>
    <row r="614" customFormat="false" ht="15" hidden="false" customHeight="false" outlineLevel="0" collapsed="false">
      <c r="A614" s="0" t="str">
        <f aca="false">IF(Consolidated!B617="","",Consolidated!B617&amp;"|"&amp;TEXT(Consolidated!C617,"yyyymmdd")&amp;"|"&amp;HOUR(Consolidated!D617))</f>
        <v>PCO|20260723|20</v>
      </c>
      <c r="B614" s="0" t="str">
        <f aca="false">IF(Consolidated!B617="","",SUBSTITUTE(SUBSTITUTE(TEXT(Consolidated!D617,"h:mm AM/PM")," AM","a")," PM","p")&amp;IF(Consolidated!E617="",""," "&amp;Consolidated!E617)&amp;IF(Consolidated!H617="",""," "&amp;Consolidated!H617))</f>
        <v>8:00p TSC (All)</v>
      </c>
      <c r="C614" s="0" t="str">
        <f aca="false">IF(Consolidated!B617="","",Consolidated!B617&amp;"|"&amp;TEXT(Consolidated!C617,"yyyymmdd"))</f>
        <v>PCO|20260723</v>
      </c>
      <c r="D614" s="0" t="str">
        <f aca="false">IF(Consolidated!I617="","",Consolidated!I617)</f>
        <v/>
      </c>
    </row>
    <row r="615" customFormat="false" ht="15" hidden="false" customHeight="false" outlineLevel="0" collapsed="false">
      <c r="A615" s="0" t="str">
        <f aca="false">IF(Consolidated!B618="","",Consolidated!B618&amp;"|"&amp;TEXT(Consolidated!C618,"yyyymmdd")&amp;"|"&amp;HOUR(Consolidated!D618))</f>
        <v>Repo|20260723|9</v>
      </c>
      <c r="B615" s="0" t="str">
        <f aca="false">IF(Consolidated!B618="","",SUBSTITUTE(SUBSTITUTE(TEXT(Consolidated!D618,"h:mm AM/PM")," AM","a")," PM","p")&amp;IF(Consolidated!E618="",""," "&amp;Consolidated!E618)&amp;IF(Consolidated!H618="",""," "&amp;Consolidated!H618))</f>
        <v>9:00a Repo</v>
      </c>
      <c r="C615" s="0" t="str">
        <f aca="false">IF(Consolidated!B618="","",Consolidated!B618&amp;"|"&amp;TEXT(Consolidated!C618,"yyyymmdd"))</f>
        <v>Repo|20260723</v>
      </c>
      <c r="D615" s="0" t="str">
        <f aca="false">IF(Consolidated!I618="","",Consolidated!I618)</f>
        <v>AM Daily</v>
      </c>
    </row>
    <row r="616" customFormat="false" ht="15" hidden="false" customHeight="false" outlineLevel="0" collapsed="false">
      <c r="A616" s="0" t="str">
        <f aca="false">IF(Consolidated!B619="","",Consolidated!B619&amp;"|"&amp;TEXT(Consolidated!C619,"yyyymmdd")&amp;"|"&amp;HOUR(Consolidated!D619))</f>
        <v>Repo|20260723|10</v>
      </c>
      <c r="B616" s="0" t="str">
        <f aca="false">IF(Consolidated!B619="","",SUBSTITUTE(SUBSTITUTE(TEXT(Consolidated!D619,"h:mm AM/PM")," AM","a")," PM","p")&amp;IF(Consolidated!E619="",""," "&amp;Consolidated!E619)&amp;IF(Consolidated!H619="",""," "&amp;Consolidated!H619))</f>
        <v>10:00a RP</v>
      </c>
      <c r="C616" s="0" t="str">
        <f aca="false">IF(Consolidated!B619="","",Consolidated!B619&amp;"|"&amp;TEXT(Consolidated!C619,"yyyymmdd"))</f>
        <v>Repo|20260723</v>
      </c>
      <c r="D616" s="0" t="str">
        <f aca="false">IF(Consolidated!I619="","",Consolidated!I619)</f>
        <v/>
      </c>
    </row>
    <row r="617" customFormat="false" ht="15" hidden="false" customHeight="false" outlineLevel="0" collapsed="false">
      <c r="A617" s="0" t="str">
        <f aca="false">IF(Consolidated!B620="","",Consolidated!B620&amp;"|"&amp;TEXT(Consolidated!C620,"yyyymmdd")&amp;"|"&amp;HOUR(Consolidated!D620))</f>
        <v>Repo|20260723|12</v>
      </c>
      <c r="B617" s="0" t="str">
        <f aca="false">IF(Consolidated!B620="","",SUBSTITUTE(SUBSTITUTE(TEXT(Consolidated!D620,"h:mm AM/PM")," AM","a")," PM","p")&amp;IF(Consolidated!E620="",""," "&amp;Consolidated!E620)&amp;IF(Consolidated!H620="",""," "&amp;Consolidated!H620))</f>
        <v>12:00p Repo</v>
      </c>
      <c r="C617" s="0" t="str">
        <f aca="false">IF(Consolidated!B620="","",Consolidated!B620&amp;"|"&amp;TEXT(Consolidated!C620,"yyyymmdd"))</f>
        <v>Repo|20260723</v>
      </c>
      <c r="D617" s="0" t="str">
        <f aca="false">IF(Consolidated!I620="","",Consolidated!I620)</f>
        <v/>
      </c>
    </row>
    <row r="618" customFormat="false" ht="15" hidden="false" customHeight="false" outlineLevel="0" collapsed="false">
      <c r="A618" s="0" t="str">
        <f aca="false">IF(Consolidated!B621="","",Consolidated!B621&amp;"|"&amp;TEXT(Consolidated!C621,"yyyymmdd")&amp;"|"&amp;HOUR(Consolidated!D621))</f>
        <v>ARC|20260724|10</v>
      </c>
      <c r="B618" s="0" t="str">
        <f aca="false">IF(Consolidated!B621="","",SUBSTITUTE(SUBSTITUTE(TEXT(Consolidated!D621,"h:mm AM/PM")," AM","a")," PM","p")&amp;IF(Consolidated!E621="",""," "&amp;Consolidated!E621)&amp;IF(Consolidated!H621="",""," "&amp;Consolidated!H621))</f>
        <v>10:00a NCs</v>
      </c>
      <c r="C618" s="0" t="str">
        <f aca="false">IF(Consolidated!B621="","",Consolidated!B621&amp;"|"&amp;TEXT(Consolidated!C621,"yyyymmdd"))</f>
        <v>ARC|20260724</v>
      </c>
      <c r="D618" s="0" t="str">
        <f aca="false">IF(Consolidated!I621="","",Consolidated!I621)</f>
        <v>Hit Priority  / Strat 7 / APP</v>
      </c>
    </row>
    <row r="619" customFormat="false" ht="15" hidden="false" customHeight="false" outlineLevel="0" collapsed="false">
      <c r="A619" s="0" t="str">
        <f aca="false">IF(Consolidated!B622="","",Consolidated!B622&amp;"|"&amp;TEXT(Consolidated!C622,"yyyymmdd")&amp;"|"&amp;HOUR(Consolidated!D622))</f>
        <v>Auto|20260724|8</v>
      </c>
      <c r="B619" s="0" t="str">
        <f aca="false">IF(Consolidated!B622="","",SUBSTITUTE(SUBSTITUTE(TEXT(Consolidated!D622,"h:mm AM/PM")," AM","a")," PM","p")&amp;IF(Consolidated!E622="",""," "&amp;Consolidated!E622)&amp;IF(Consolidated!H622="",""," "&amp;Consolidated!H622))</f>
        <v>8:15a E AMs</v>
      </c>
      <c r="C619" s="0" t="str">
        <f aca="false">IF(Consolidated!B622="","",Consolidated!B622&amp;"|"&amp;TEXT(Consolidated!C622,"yyyymmdd"))</f>
        <v>Auto|20260724</v>
      </c>
      <c r="D619" s="0" t="str">
        <f aca="false">IF(Consolidated!I622="","",Consolidated!I622)</f>
        <v>Slowpay AM Daily</v>
      </c>
    </row>
    <row r="620" customFormat="false" ht="15" hidden="false" customHeight="false" outlineLevel="0" collapsed="false">
      <c r="A620" s="0" t="str">
        <f aca="false">IF(Consolidated!B623="","",Consolidated!B623&amp;"|"&amp;TEXT(Consolidated!C623,"yyyymmdd")&amp;"|"&amp;HOUR(Consolidated!D623))</f>
        <v>Auto|20260724|11</v>
      </c>
      <c r="B620" s="0" t="str">
        <f aca="false">IF(Consolidated!B623="","",SUBSTITUTE(SUBSTITUTE(TEXT(Consolidated!D623,"h:mm AM/PM")," AM","a")," PM","p")&amp;IF(Consolidated!E623="",""," "&amp;Consolidated!E623)&amp;IF(Consolidated!H623="",""," "&amp;Consolidated!H623))</f>
        <v>11:30a C-M-P AMs</v>
      </c>
      <c r="C620" s="0" t="str">
        <f aca="false">IF(Consolidated!B623="","",Consolidated!B623&amp;"|"&amp;TEXT(Consolidated!C623,"yyyymmdd"))</f>
        <v>Auto|20260724</v>
      </c>
      <c r="D620" s="0" t="str">
        <f aca="false">IF(Consolidated!I623="","",Consolidated!I623)</f>
        <v/>
      </c>
    </row>
    <row r="621" customFormat="false" ht="15" hidden="false" customHeight="false" outlineLevel="0" collapsed="false">
      <c r="A621" s="0" t="str">
        <f aca="false">IF(Consolidated!B624="","",Consolidated!B624&amp;"|"&amp;TEXT(Consolidated!C624,"yyyymmdd")&amp;"|"&amp;HOUR(Consolidated!D624))</f>
        <v>Auto|20260724|14</v>
      </c>
      <c r="B621" s="0" t="str">
        <f aca="false">IF(Consolidated!B624="","",SUBSTITUTE(SUBSTITUTE(TEXT(Consolidated!D624,"h:mm AM/PM")," AM","a")," PM","p")&amp;IF(Consolidated!E624="",""," "&amp;Consolidated!E624)&amp;IF(Consolidated!H624="",""," "&amp;Consolidated!H624))</f>
        <v>2:00p WFO</v>
      </c>
      <c r="C621" s="0" t="str">
        <f aca="false">IF(Consolidated!B624="","",Consolidated!B624&amp;"|"&amp;TEXT(Consolidated!C624,"yyyymmdd"))</f>
        <v>Auto|20260724</v>
      </c>
      <c r="D621" s="0" t="str">
        <f aca="false">IF(Consolidated!I624="","",Consolidated!I624)</f>
        <v/>
      </c>
    </row>
    <row r="622" customFormat="false" ht="15" hidden="false" customHeight="false" outlineLevel="0" collapsed="false">
      <c r="A622" s="0" t="str">
        <f aca="false">IF(Consolidated!B625="","",Consolidated!B625&amp;"|"&amp;TEXT(Consolidated!C625,"yyyymmdd")&amp;"|"&amp;HOUR(Consolidated!D625))</f>
        <v>Auto|20260724|17</v>
      </c>
      <c r="B622" s="0" t="str">
        <f aca="false">IF(Consolidated!B625="","",SUBSTITUTE(SUBSTITUTE(TEXT(Consolidated!D625,"h:mm AM/PM")," AM","a")," PM","p")&amp;IF(Consolidated!E625="",""," "&amp;Consolidated!E625)&amp;IF(Consolidated!H625="",""," "&amp;Consolidated!H625))</f>
        <v>5:00p Blitz</v>
      </c>
      <c r="C622" s="0" t="str">
        <f aca="false">IF(Consolidated!B625="","",Consolidated!B625&amp;"|"&amp;TEXT(Consolidated!C625,"yyyymmdd"))</f>
        <v>Auto|20260724</v>
      </c>
      <c r="D622" s="0" t="str">
        <f aca="false">IF(Consolidated!I625="","",Consolidated!I625)</f>
        <v/>
      </c>
    </row>
    <row r="623" customFormat="false" ht="15" hidden="false" customHeight="false" outlineLevel="0" collapsed="false">
      <c r="A623" s="0" t="str">
        <f aca="false">IF(Consolidated!B626="","",Consolidated!B626&amp;"|"&amp;TEXT(Consolidated!C626,"yyyymmdd")&amp;"|"&amp;HOUR(Consolidated!D626))</f>
        <v>Auto|20260724|20</v>
      </c>
      <c r="B623" s="0" t="str">
        <f aca="false">IF(Consolidated!B626="","",SUBSTITUTE(SUBSTITUTE(TEXT(Consolidated!D626,"h:mm AM/PM")," AM","a")," PM","p")&amp;IF(Consolidated!E626="",""," "&amp;Consolidated!E626)&amp;IF(Consolidated!H626="",""," "&amp;Consolidated!H626))</f>
        <v>8:00p TSC (All)</v>
      </c>
      <c r="C623" s="0" t="str">
        <f aca="false">IF(Consolidated!B626="","",Consolidated!B626&amp;"|"&amp;TEXT(Consolidated!C626,"yyyymmdd"))</f>
        <v>Auto|20260724</v>
      </c>
      <c r="D623" s="0" t="str">
        <f aca="false">IF(Consolidated!I626="","",Consolidated!I626)</f>
        <v/>
      </c>
    </row>
    <row r="624" customFormat="false" ht="15" hidden="false" customHeight="false" outlineLevel="0" collapsed="false">
      <c r="A624" s="0" t="str">
        <f aca="false">IF(Consolidated!B627="","",Consolidated!B627&amp;"|"&amp;TEXT(Consolidated!C627,"yyyymmdd")&amp;"|"&amp;HOUR(Consolidated!D627))</f>
        <v>BE|20260724|8</v>
      </c>
      <c r="B624" s="0" t="str">
        <f aca="false">IF(Consolidated!B627="","",SUBSTITUTE(SUBSTITUTE(TEXT(Consolidated!D627,"h:mm AM/PM")," AM","a")," PM","p")&amp;IF(Consolidated!E627="",""," "&amp;Consolidated!E627)&amp;IF(Consolidated!H627="",""," "&amp;Consolidated!H627))</f>
        <v>8:30a E AMs</v>
      </c>
      <c r="C624" s="0" t="str">
        <f aca="false">IF(Consolidated!B627="","",Consolidated!B627&amp;"|"&amp;TEXT(Consolidated!C627,"yyyymmdd"))</f>
        <v>BE|20260724</v>
      </c>
      <c r="D624" s="0" t="str">
        <f aca="false">IF(Consolidated!I627="","",Consolidated!I627)</f>
        <v/>
      </c>
    </row>
    <row r="625" customFormat="false" ht="15" hidden="false" customHeight="false" outlineLevel="0" collapsed="false">
      <c r="A625" s="0" t="str">
        <f aca="false">IF(Consolidated!B628="","",Consolidated!B628&amp;"|"&amp;TEXT(Consolidated!C628,"yyyymmdd")&amp;"|"&amp;HOUR(Consolidated!D628))</f>
        <v>BE|20260724|11</v>
      </c>
      <c r="B625" s="0" t="str">
        <f aca="false">IF(Consolidated!B628="","",SUBSTITUTE(SUBSTITUTE(TEXT(Consolidated!D628,"h:mm AM/PM")," AM","a")," PM","p")&amp;IF(Consolidated!E628="",""," "&amp;Consolidated!E628)&amp;IF(Consolidated!H628="",""," "&amp;Consolidated!H628))</f>
        <v>11:00a C-M-P AMs</v>
      </c>
      <c r="C625" s="0" t="str">
        <f aca="false">IF(Consolidated!B628="","",Consolidated!B628&amp;"|"&amp;TEXT(Consolidated!C628,"yyyymmdd"))</f>
        <v>BE|20260724</v>
      </c>
      <c r="D625" s="0" t="str">
        <f aca="false">IF(Consolidated!I628="","",Consolidated!I628)</f>
        <v/>
      </c>
    </row>
    <row r="626" customFormat="false" ht="15" hidden="false" customHeight="false" outlineLevel="0" collapsed="false">
      <c r="A626" s="0" t="str">
        <f aca="false">IF(Consolidated!B629="","",Consolidated!B629&amp;"|"&amp;TEXT(Consolidated!C629,"yyyymmdd")&amp;"|"&amp;HOUR(Consolidated!D629))</f>
        <v>BE|20260724|13</v>
      </c>
      <c r="B626" s="0" t="str">
        <f aca="false">IF(Consolidated!B629="","",SUBSTITUTE(SUBSTITUTE(TEXT(Consolidated!D629,"h:mm AM/PM")," AM","a")," PM","p")&amp;IF(Consolidated!E629="",""," "&amp;Consolidated!E629)&amp;IF(Consolidated!H629="",""," "&amp;Consolidated!H629))</f>
        <v>1:00p WFO</v>
      </c>
      <c r="C626" s="0" t="str">
        <f aca="false">IF(Consolidated!B629="","",Consolidated!B629&amp;"|"&amp;TEXT(Consolidated!C629,"yyyymmdd"))</f>
        <v>BE|20260724</v>
      </c>
      <c r="D626" s="0" t="str">
        <f aca="false">IF(Consolidated!I629="","",Consolidated!I629)</f>
        <v/>
      </c>
    </row>
    <row r="627" customFormat="false" ht="15" hidden="false" customHeight="false" outlineLevel="0" collapsed="false">
      <c r="A627" s="0" t="str">
        <f aca="false">IF(Consolidated!B630="","",Consolidated!B630&amp;"|"&amp;TEXT(Consolidated!C630,"yyyymmdd")&amp;"|"&amp;HOUR(Consolidated!D630))</f>
        <v>BE|20260724|17</v>
      </c>
      <c r="B627" s="0" t="str">
        <f aca="false">IF(Consolidated!B630="","",SUBSTITUTE(SUBSTITUTE(TEXT(Consolidated!D630,"h:mm AM/PM")," AM","a")," PM","p")&amp;IF(Consolidated!E630="",""," "&amp;Consolidated!E630)&amp;IF(Consolidated!H630="",""," "&amp;Consolidated!H630))</f>
        <v>5:00p Blitz</v>
      </c>
      <c r="C627" s="0" t="str">
        <f aca="false">IF(Consolidated!B630="","",Consolidated!B630&amp;"|"&amp;TEXT(Consolidated!C630,"yyyymmdd"))</f>
        <v>BE|20260724</v>
      </c>
      <c r="D627" s="0" t="str">
        <f aca="false">IF(Consolidated!I630="","",Consolidated!I630)</f>
        <v/>
      </c>
    </row>
    <row r="628" customFormat="false" ht="15" hidden="false" customHeight="false" outlineLevel="0" collapsed="false">
      <c r="A628" s="0" t="str">
        <f aca="false">IF(Consolidated!B631="","",Consolidated!B631&amp;"|"&amp;TEXT(Consolidated!C631,"yyyymmdd")&amp;"|"&amp;HOUR(Consolidated!D631))</f>
        <v>BE|20260724|20</v>
      </c>
      <c r="B628" s="0" t="str">
        <f aca="false">IF(Consolidated!B631="","",SUBSTITUTE(SUBSTITUTE(TEXT(Consolidated!D631,"h:mm AM/PM")," AM","a")," PM","p")&amp;IF(Consolidated!E631="",""," "&amp;Consolidated!E631)&amp;IF(Consolidated!H631="",""," "&amp;Consolidated!H631))</f>
        <v>8:00p TSC (All)</v>
      </c>
      <c r="C628" s="0" t="str">
        <f aca="false">IF(Consolidated!B631="","",Consolidated!B631&amp;"|"&amp;TEXT(Consolidated!C631,"yyyymmdd"))</f>
        <v>BE|20260724</v>
      </c>
      <c r="D628" s="0" t="str">
        <f aca="false">IF(Consolidated!I631="","",Consolidated!I631)</f>
        <v/>
      </c>
    </row>
    <row r="629" customFormat="false" ht="15" hidden="false" customHeight="false" outlineLevel="0" collapsed="false">
      <c r="A629" s="0" t="str">
        <f aca="false">IF(Consolidated!B632="","",Consolidated!B632&amp;"|"&amp;TEXT(Consolidated!C632,"yyyymmdd")&amp;"|"&amp;HOUR(Consolidated!D632))</f>
        <v>Branch Central|20260724|12</v>
      </c>
      <c r="B629" s="0" t="str">
        <f aca="false">IF(Consolidated!B632="","",SUBSTITUTE(SUBSTITUTE(TEXT(Consolidated!D632,"h:mm AM/PM")," AM","a")," PM","p")&amp;IF(Consolidated!E632="",""," "&amp;Consolidated!E632)&amp;IF(Consolidated!H632="",""," "&amp;Consolidated!H632))</f>
        <v>12:30p E-C 1s &amp; Slow</v>
      </c>
      <c r="C629" s="0" t="str">
        <f aca="false">IF(Consolidated!B632="","",Consolidated!B632&amp;"|"&amp;TEXT(Consolidated!C632,"yyyymmdd"))</f>
        <v>Branch Central|20260724</v>
      </c>
      <c r="D629" s="0" t="str">
        <f aca="false">IF(Consolidated!I632="","",Consolidated!I632)</f>
        <v/>
      </c>
    </row>
    <row r="630" customFormat="false" ht="15" hidden="false" customHeight="false" outlineLevel="0" collapsed="false">
      <c r="A630" s="0" t="str">
        <f aca="false">IF(Consolidated!B633="","",Consolidated!B633&amp;"|"&amp;TEXT(Consolidated!C633,"yyyymmdd")&amp;"|"&amp;HOUR(Consolidated!D633))</f>
        <v>Branch Vendor|20260724|18</v>
      </c>
      <c r="B630" s="0" t="str">
        <f aca="false">IF(Consolidated!B633="","",SUBSTITUTE(SUBSTITUTE(TEXT(Consolidated!D633,"h:mm AM/PM")," AM","a")," PM","p")&amp;IF(Consolidated!E633="",""," "&amp;Consolidated!E633)&amp;IF(Consolidated!H633="",""," "&amp;Consolidated!H633))</f>
        <v>6:00p Vendor</v>
      </c>
      <c r="C630" s="0" t="str">
        <f aca="false">IF(Consolidated!B633="","",Consolidated!B633&amp;"|"&amp;TEXT(Consolidated!C633,"yyyymmdd"))</f>
        <v>Branch Vendor|20260724</v>
      </c>
      <c r="D630" s="0" t="str">
        <f aca="false">IF(Consolidated!I633="","",Consolidated!I633)</f>
        <v/>
      </c>
    </row>
    <row r="631" customFormat="false" ht="15" hidden="false" customHeight="false" outlineLevel="0" collapsed="false">
      <c r="A631" s="0" t="str">
        <f aca="false">IF(Consolidated!B634="","",Consolidated!B634&amp;"|"&amp;TEXT(Consolidated!C634,"yyyymmdd")&amp;"|"&amp;HOUR(Consolidated!D634))</f>
        <v>Card|20260724|8</v>
      </c>
      <c r="B631" s="0" t="str">
        <f aca="false">IF(Consolidated!B634="","",SUBSTITUTE(SUBSTITUTE(TEXT(Consolidated!D634,"h:mm AM/PM")," AM","a")," PM","p")&amp;IF(Consolidated!E634="",""," "&amp;Consolidated!E634)&amp;IF(Consolidated!H634="",""," "&amp;Consolidated!H634))</f>
        <v>8:00a</v>
      </c>
      <c r="C631" s="0" t="str">
        <f aca="false">IF(Consolidated!B634="","",Consolidated!B634&amp;"|"&amp;TEXT(Consolidated!C634,"yyyymmdd"))</f>
        <v>Card|20260724</v>
      </c>
      <c r="D631" s="0" t="str">
        <f aca="false">IF(Consolidated!I634="","",Consolidated!I634)</f>
        <v/>
      </c>
    </row>
    <row r="632" customFormat="false" ht="15" hidden="false" customHeight="false" outlineLevel="0" collapsed="false">
      <c r="A632" s="0" t="str">
        <f aca="false">IF(Consolidated!B635="","",Consolidated!B635&amp;"|"&amp;TEXT(Consolidated!C635,"yyyymmdd")&amp;"|"&amp;HOUR(Consolidated!D635))</f>
        <v>Card|20260724|12</v>
      </c>
      <c r="B632" s="0" t="str">
        <f aca="false">IF(Consolidated!B635="","",SUBSTITUTE(SUBSTITUTE(TEXT(Consolidated!D635,"h:mm AM/PM")," AM","a")," PM","p")&amp;IF(Consolidated!E635="",""," "&amp;Consolidated!E635)&amp;IF(Consolidated!H635="",""," "&amp;Consolidated!H635))</f>
        <v>12:00p</v>
      </c>
      <c r="C632" s="0" t="str">
        <f aca="false">IF(Consolidated!B635="","",Consolidated!B635&amp;"|"&amp;TEXT(Consolidated!C635,"yyyymmdd"))</f>
        <v>Card|20260724</v>
      </c>
      <c r="D632" s="0" t="str">
        <f aca="false">IF(Consolidated!I635="","",Consolidated!I635)</f>
        <v/>
      </c>
    </row>
    <row r="633" customFormat="false" ht="15" hidden="false" customHeight="false" outlineLevel="0" collapsed="false">
      <c r="A633" s="0" t="str">
        <f aca="false">IF(Consolidated!B636="","",Consolidated!B636&amp;"|"&amp;TEXT(Consolidated!C636,"yyyymmdd")&amp;"|"&amp;HOUR(Consolidated!D636))</f>
        <v>Card|20260724|14</v>
      </c>
      <c r="B633" s="0" t="str">
        <f aca="false">IF(Consolidated!B636="","",SUBSTITUTE(SUBSTITUTE(TEXT(Consolidated!D636,"h:mm AM/PM")," AM","a")," PM","p")&amp;IF(Consolidated!E636="",""," "&amp;Consolidated!E636)&amp;IF(Consolidated!H636="",""," "&amp;Consolidated!H636))</f>
        <v>2:00p ASAP</v>
      </c>
      <c r="C633" s="0" t="str">
        <f aca="false">IF(Consolidated!B636="","",Consolidated!B636&amp;"|"&amp;TEXT(Consolidated!C636,"yyyymmdd"))</f>
        <v>Card|20260724</v>
      </c>
      <c r="D633" s="0" t="str">
        <f aca="false">IF(Consolidated!I636="","",Consolidated!I636)</f>
        <v/>
      </c>
    </row>
    <row r="634" customFormat="false" ht="15" hidden="false" customHeight="false" outlineLevel="0" collapsed="false">
      <c r="A634" s="0" t="str">
        <f aca="false">IF(Consolidated!B637="","",Consolidated!B637&amp;"|"&amp;TEXT(Consolidated!C637,"yyyymmdd")&amp;"|"&amp;HOUR(Consolidated!D637))</f>
        <v>Card|20260724|16</v>
      </c>
      <c r="B634" s="0" t="str">
        <f aca="false">IF(Consolidated!B637="","",SUBSTITUTE(SUBSTITUTE(TEXT(Consolidated!D637,"h:mm AM/PM")," AM","a")," PM","p")&amp;IF(Consolidated!E637="",""," "&amp;Consolidated!E637)&amp;IF(Consolidated!H637="",""," "&amp;Consolidated!H637))</f>
        <v>4:00p ASAP</v>
      </c>
      <c r="C634" s="0" t="str">
        <f aca="false">IF(Consolidated!B637="","",Consolidated!B637&amp;"|"&amp;TEXT(Consolidated!C637,"yyyymmdd"))</f>
        <v>Card|20260724</v>
      </c>
      <c r="D634" s="0" t="str">
        <f aca="false">IF(Consolidated!I637="","",Consolidated!I637)</f>
        <v/>
      </c>
    </row>
    <row r="635" customFormat="false" ht="15" hidden="false" customHeight="false" outlineLevel="0" collapsed="false">
      <c r="A635" s="0" t="str">
        <f aca="false">IF(Consolidated!B638="","",Consolidated!B638&amp;"|"&amp;TEXT(Consolidated!C638,"yyyymmdd")&amp;"|"&amp;HOUR(Consolidated!D638))</f>
        <v>Card|20260724|18</v>
      </c>
      <c r="B635" s="0" t="str">
        <f aca="false">IF(Consolidated!B638="","",SUBSTITUTE(SUBSTITUTE(TEXT(Consolidated!D638,"h:mm AM/PM")," AM","a")," PM","p")&amp;IF(Consolidated!E638="",""," "&amp;Consolidated!E638)&amp;IF(Consolidated!H638="",""," "&amp;Consolidated!H638))</f>
        <v>6:00p ASAP</v>
      </c>
      <c r="C635" s="0" t="str">
        <f aca="false">IF(Consolidated!B638="","",Consolidated!B638&amp;"|"&amp;TEXT(Consolidated!C638,"yyyymmdd"))</f>
        <v>Card|20260724</v>
      </c>
      <c r="D635" s="0" t="str">
        <f aca="false">IF(Consolidated!I638="","",Consolidated!I638)</f>
        <v/>
      </c>
    </row>
    <row r="636" customFormat="false" ht="15" hidden="false" customHeight="false" outlineLevel="0" collapsed="false">
      <c r="A636" s="0" t="str">
        <f aca="false">IF(Consolidated!B639="","",Consolidated!B639&amp;"|"&amp;TEXT(Consolidated!C639,"yyyymmdd")&amp;"|"&amp;HOUR(Consolidated!D639))</f>
        <v>FE|20260724|8</v>
      </c>
      <c r="B636" s="0" t="str">
        <f aca="false">IF(Consolidated!B639="","",SUBSTITUTE(SUBSTITUTE(TEXT(Consolidated!D639,"h:mm AM/PM")," AM","a")," PM","p")&amp;IF(Consolidated!E639="",""," "&amp;Consolidated!E639)&amp;IF(Consolidated!H639="",""," "&amp;Consolidated!H639))</f>
        <v>8:30a E AMs</v>
      </c>
      <c r="C636" s="0" t="str">
        <f aca="false">IF(Consolidated!B639="","",Consolidated!B639&amp;"|"&amp;TEXT(Consolidated!C639,"yyyymmdd"))</f>
        <v>FE|20260724</v>
      </c>
      <c r="D636" s="0" t="str">
        <f aca="false">IF(Consolidated!I639="","",Consolidated!I639)</f>
        <v/>
      </c>
    </row>
    <row r="637" customFormat="false" ht="15" hidden="false" customHeight="false" outlineLevel="0" collapsed="false">
      <c r="A637" s="0" t="str">
        <f aca="false">IF(Consolidated!B640="","",Consolidated!B640&amp;"|"&amp;TEXT(Consolidated!C640,"yyyymmdd")&amp;"|"&amp;HOUR(Consolidated!D640))</f>
        <v>FE|20260724|11</v>
      </c>
      <c r="B637" s="0" t="str">
        <f aca="false">IF(Consolidated!B640="","",SUBSTITUTE(SUBSTITUTE(TEXT(Consolidated!D640,"h:mm AM/PM")," AM","a")," PM","p")&amp;IF(Consolidated!E640="",""," "&amp;Consolidated!E640)&amp;IF(Consolidated!H640="",""," "&amp;Consolidated!H640))</f>
        <v>11:00a C-M-P AMs</v>
      </c>
      <c r="C637" s="0" t="str">
        <f aca="false">IF(Consolidated!B640="","",Consolidated!B640&amp;"|"&amp;TEXT(Consolidated!C640,"yyyymmdd"))</f>
        <v>FE|20260724</v>
      </c>
      <c r="D637" s="0" t="str">
        <f aca="false">IF(Consolidated!I640="","",Consolidated!I640)</f>
        <v/>
      </c>
    </row>
    <row r="638" customFormat="false" ht="15" hidden="false" customHeight="false" outlineLevel="0" collapsed="false">
      <c r="A638" s="0" t="str">
        <f aca="false">IF(Consolidated!B641="","",Consolidated!B641&amp;"|"&amp;TEXT(Consolidated!C641,"yyyymmdd")&amp;"|"&amp;HOUR(Consolidated!D641))</f>
        <v>FE|20260724|12</v>
      </c>
      <c r="B638" s="0" t="str">
        <f aca="false">IF(Consolidated!B641="","",SUBSTITUTE(SUBSTITUTE(TEXT(Consolidated!D641,"h:mm AM/PM")," AM","a")," PM","p")&amp;IF(Consolidated!E641="",""," "&amp;Consolidated!E641)&amp;IF(Consolidated!H641="",""," "&amp;Consolidated!H641))</f>
        <v>12:30p Branch</v>
      </c>
      <c r="C638" s="0" t="str">
        <f aca="false">IF(Consolidated!B641="","",Consolidated!B641&amp;"|"&amp;TEXT(Consolidated!C641,"yyyymmdd"))</f>
        <v>FE|20260724</v>
      </c>
      <c r="D638" s="0" t="str">
        <f aca="false">IF(Consolidated!I641="","",Consolidated!I641)</f>
        <v/>
      </c>
    </row>
    <row r="639" customFormat="false" ht="15" hidden="false" customHeight="false" outlineLevel="0" collapsed="false">
      <c r="A639" s="0" t="str">
        <f aca="false">IF(Consolidated!B642="","",Consolidated!B642&amp;"|"&amp;TEXT(Consolidated!C642,"yyyymmdd")&amp;"|"&amp;HOUR(Consolidated!D642))</f>
        <v>FE|20260724|13</v>
      </c>
      <c r="B639" s="0" t="str">
        <f aca="false">IF(Consolidated!B642="","",SUBSTITUTE(SUBSTITUTE(TEXT(Consolidated!D642,"h:mm AM/PM")," AM","a")," PM","p")&amp;IF(Consolidated!E642="",""," "&amp;Consolidated!E642)&amp;IF(Consolidated!H642="",""," "&amp;Consolidated!H642))</f>
        <v>1:30p WFO</v>
      </c>
      <c r="C639" s="0" t="str">
        <f aca="false">IF(Consolidated!B642="","",Consolidated!B642&amp;"|"&amp;TEXT(Consolidated!C642,"yyyymmdd"))</f>
        <v>FE|20260724</v>
      </c>
      <c r="D639" s="0" t="str">
        <f aca="false">IF(Consolidated!I642="","",Consolidated!I642)</f>
        <v/>
      </c>
    </row>
    <row r="640" customFormat="false" ht="15" hidden="false" customHeight="false" outlineLevel="0" collapsed="false">
      <c r="A640" s="0" t="str">
        <f aca="false">IF(Consolidated!B643="","",Consolidated!B643&amp;"|"&amp;TEXT(Consolidated!C643,"yyyymmdd")&amp;"|"&amp;HOUR(Consolidated!D643))</f>
        <v>FE|20260724|17</v>
      </c>
      <c r="B640" s="0" t="str">
        <f aca="false">IF(Consolidated!B643="","",SUBSTITUTE(SUBSTITUTE(TEXT(Consolidated!D643,"h:mm AM/PM")," AM","a")," PM","p")&amp;IF(Consolidated!E643="",""," "&amp;Consolidated!E643)&amp;IF(Consolidated!H643="",""," "&amp;Consolidated!H643))</f>
        <v>5:00p Blitz</v>
      </c>
      <c r="C640" s="0" t="str">
        <f aca="false">IF(Consolidated!B643="","",Consolidated!B643&amp;"|"&amp;TEXT(Consolidated!C643,"yyyymmdd"))</f>
        <v>FE|20260724</v>
      </c>
      <c r="D640" s="0" t="str">
        <f aca="false">IF(Consolidated!I643="","",Consolidated!I643)</f>
        <v/>
      </c>
    </row>
    <row r="641" customFormat="false" ht="15" hidden="false" customHeight="false" outlineLevel="0" collapsed="false">
      <c r="A641" s="0" t="str">
        <f aca="false">IF(Consolidated!B644="","",Consolidated!B644&amp;"|"&amp;TEXT(Consolidated!C644,"yyyymmdd")&amp;"|"&amp;HOUR(Consolidated!D644))</f>
        <v>FE|20260724|20</v>
      </c>
      <c r="B641" s="0" t="str">
        <f aca="false">IF(Consolidated!B644="","",SUBSTITUTE(SUBSTITUTE(TEXT(Consolidated!D644,"h:mm AM/PM")," AM","a")," PM","p")&amp;IF(Consolidated!E644="",""," "&amp;Consolidated!E644)&amp;IF(Consolidated!H644="",""," "&amp;Consolidated!H644))</f>
        <v>8:00p TSC (All)</v>
      </c>
      <c r="C641" s="0" t="str">
        <f aca="false">IF(Consolidated!B644="","",Consolidated!B644&amp;"|"&amp;TEXT(Consolidated!C644,"yyyymmdd"))</f>
        <v>FE|20260724</v>
      </c>
      <c r="D641" s="0" t="str">
        <f aca="false">IF(Consolidated!I644="","",Consolidated!I644)</f>
        <v/>
      </c>
    </row>
    <row r="642" customFormat="false" ht="15" hidden="false" customHeight="false" outlineLevel="0" collapsed="false">
      <c r="A642" s="0" t="str">
        <f aca="false">IF(Consolidated!B645="","",Consolidated!B645&amp;"|"&amp;TEXT(Consolidated!C645,"yyyymmdd")&amp;"|"&amp;HOUR(Consolidated!D645))</f>
        <v>PCO|20260724|9</v>
      </c>
      <c r="B642" s="0" t="str">
        <f aca="false">IF(Consolidated!B645="","",SUBSTITUTE(SUBSTITUTE(TEXT(Consolidated!D645,"h:mm AM/PM")," AM","a")," PM","p")&amp;IF(Consolidated!E645="",""," "&amp;Consolidated!E645)&amp;IF(Consolidated!H645="",""," "&amp;Consolidated!H645))</f>
        <v>9:00a E-C AMs</v>
      </c>
      <c r="C642" s="0" t="str">
        <f aca="false">IF(Consolidated!B645="","",Consolidated!B645&amp;"|"&amp;TEXT(Consolidated!C645,"yyyymmdd"))</f>
        <v>PCO|20260724</v>
      </c>
      <c r="D642" s="0" t="str">
        <f aca="false">IF(Consolidated!I645="","",Consolidated!I645)</f>
        <v/>
      </c>
    </row>
    <row r="643" customFormat="false" ht="15" hidden="false" customHeight="false" outlineLevel="0" collapsed="false">
      <c r="A643" s="0" t="str">
        <f aca="false">IF(Consolidated!B646="","",Consolidated!B646&amp;"|"&amp;TEXT(Consolidated!C646,"yyyymmdd")&amp;"|"&amp;HOUR(Consolidated!D646))</f>
        <v>PCO|20260724|11</v>
      </c>
      <c r="B643" s="0" t="str">
        <f aca="false">IF(Consolidated!B646="","",SUBSTITUTE(SUBSTITUTE(TEXT(Consolidated!D646,"h:mm AM/PM")," AM","a")," PM","p")&amp;IF(Consolidated!E646="",""," "&amp;Consolidated!E646)&amp;IF(Consolidated!H646="",""," "&amp;Consolidated!H646))</f>
        <v>11:15a M-P AMs</v>
      </c>
      <c r="C643" s="0" t="str">
        <f aca="false">IF(Consolidated!B646="","",Consolidated!B646&amp;"|"&amp;TEXT(Consolidated!C646,"yyyymmdd"))</f>
        <v>PCO|20260724</v>
      </c>
      <c r="D643" s="0" t="str">
        <f aca="false">IF(Consolidated!I646="","",Consolidated!I646)</f>
        <v/>
      </c>
    </row>
    <row r="644" customFormat="false" ht="15" hidden="false" customHeight="false" outlineLevel="0" collapsed="false">
      <c r="A644" s="0" t="str">
        <f aca="false">IF(Consolidated!B647="","",Consolidated!B647&amp;"|"&amp;TEXT(Consolidated!C647,"yyyymmdd")&amp;"|"&amp;HOUR(Consolidated!D647))</f>
        <v>PCO|20260724|13</v>
      </c>
      <c r="B644" s="0" t="str">
        <f aca="false">IF(Consolidated!B647="","",SUBSTITUTE(SUBSTITUTE(TEXT(Consolidated!D647,"h:mm AM/PM")," AM","a")," PM","p")&amp;IF(Consolidated!E647="",""," "&amp;Consolidated!E647)&amp;IF(Consolidated!H647="",""," "&amp;Consolidated!H647))</f>
        <v>1:00p WFO</v>
      </c>
      <c r="C644" s="0" t="str">
        <f aca="false">IF(Consolidated!B647="","",Consolidated!B647&amp;"|"&amp;TEXT(Consolidated!C647,"yyyymmdd"))</f>
        <v>PCO|20260724</v>
      </c>
      <c r="D644" s="0" t="str">
        <f aca="false">IF(Consolidated!I647="","",Consolidated!I647)</f>
        <v/>
      </c>
    </row>
    <row r="645" customFormat="false" ht="15" hidden="false" customHeight="false" outlineLevel="0" collapsed="false">
      <c r="A645" s="0" t="str">
        <f aca="false">IF(Consolidated!B648="","",Consolidated!B648&amp;"|"&amp;TEXT(Consolidated!C648,"yyyymmdd")&amp;"|"&amp;HOUR(Consolidated!D648))</f>
        <v>PCO|20260724|17</v>
      </c>
      <c r="B645" s="0" t="str">
        <f aca="false">IF(Consolidated!B648="","",SUBSTITUTE(SUBSTITUTE(TEXT(Consolidated!D648,"h:mm AM/PM")," AM","a")," PM","p")&amp;IF(Consolidated!E648="",""," "&amp;Consolidated!E648)&amp;IF(Consolidated!H648="",""," "&amp;Consolidated!H648))</f>
        <v>5:00p Blitz</v>
      </c>
      <c r="C645" s="0" t="str">
        <f aca="false">IF(Consolidated!B648="","",Consolidated!B648&amp;"|"&amp;TEXT(Consolidated!C648,"yyyymmdd"))</f>
        <v>PCO|20260724</v>
      </c>
      <c r="D645" s="0" t="str">
        <f aca="false">IF(Consolidated!I648="","",Consolidated!I648)</f>
        <v/>
      </c>
    </row>
    <row r="646" customFormat="false" ht="15" hidden="false" customHeight="false" outlineLevel="0" collapsed="false">
      <c r="A646" s="0" t="str">
        <f aca="false">IF(Consolidated!B649="","",Consolidated!B649&amp;"|"&amp;TEXT(Consolidated!C649,"yyyymmdd")&amp;"|"&amp;HOUR(Consolidated!D649))</f>
        <v>PCO|20260724|20</v>
      </c>
      <c r="B646" s="0" t="str">
        <f aca="false">IF(Consolidated!B649="","",SUBSTITUTE(SUBSTITUTE(TEXT(Consolidated!D649,"h:mm AM/PM")," AM","a")," PM","p")&amp;IF(Consolidated!E649="",""," "&amp;Consolidated!E649)&amp;IF(Consolidated!H649="",""," "&amp;Consolidated!H649))</f>
        <v>8:00p TSC (All)</v>
      </c>
      <c r="C646" s="0" t="str">
        <f aca="false">IF(Consolidated!B649="","",Consolidated!B649&amp;"|"&amp;TEXT(Consolidated!C649,"yyyymmdd"))</f>
        <v>PCO|20260724</v>
      </c>
      <c r="D646" s="0" t="str">
        <f aca="false">IF(Consolidated!I649="","",Consolidated!I649)</f>
        <v/>
      </c>
    </row>
    <row r="647" customFormat="false" ht="15" hidden="false" customHeight="false" outlineLevel="0" collapsed="false">
      <c r="A647" s="0" t="str">
        <f aca="false">IF(Consolidated!B650="","",Consolidated!B650&amp;"|"&amp;TEXT(Consolidated!C650,"yyyymmdd")&amp;"|"&amp;HOUR(Consolidated!D650))</f>
        <v>Repo|20260724|8</v>
      </c>
      <c r="B647" s="0" t="str">
        <f aca="false">IF(Consolidated!B650="","",SUBSTITUTE(SUBSTITUTE(TEXT(Consolidated!D650,"h:mm AM/PM")," AM","a")," PM","p")&amp;IF(Consolidated!E650="",""," "&amp;Consolidated!E650)&amp;IF(Consolidated!H650="",""," "&amp;Consolidated!H650))</f>
        <v>8:15a Repo</v>
      </c>
      <c r="C647" s="0" t="str">
        <f aca="false">IF(Consolidated!B650="","",Consolidated!B650&amp;"|"&amp;TEXT(Consolidated!C650,"yyyymmdd"))</f>
        <v>Repo|20260724</v>
      </c>
      <c r="D647" s="0" t="str">
        <f aca="false">IF(Consolidated!I650="","",Consolidated!I650)</f>
        <v>AM Daily</v>
      </c>
    </row>
    <row r="648" customFormat="false" ht="15" hidden="false" customHeight="false" outlineLevel="0" collapsed="false">
      <c r="A648" s="0" t="str">
        <f aca="false">IF(Consolidated!B651="","",Consolidated!B651&amp;"|"&amp;TEXT(Consolidated!C651,"yyyymmdd")&amp;"|"&amp;HOUR(Consolidated!D651))</f>
        <v>Repo|20260724|10</v>
      </c>
      <c r="B648" s="0" t="str">
        <f aca="false">IF(Consolidated!B651="","",SUBSTITUTE(SUBSTITUTE(TEXT(Consolidated!D651,"h:mm AM/PM")," AM","a")," PM","p")&amp;IF(Consolidated!E651="",""," "&amp;Consolidated!E651)&amp;IF(Consolidated!H651="",""," "&amp;Consolidated!H651))</f>
        <v>10:00a Repo</v>
      </c>
      <c r="C648" s="0" t="str">
        <f aca="false">IF(Consolidated!B651="","",Consolidated!B651&amp;"|"&amp;TEXT(Consolidated!C651,"yyyymmdd"))</f>
        <v>Repo|20260724</v>
      </c>
      <c r="D648" s="0" t="str">
        <f aca="false">IF(Consolidated!I651="","",Consolidated!I651)</f>
        <v/>
      </c>
    </row>
    <row r="649" customFormat="false" ht="15" hidden="false" customHeight="false" outlineLevel="0" collapsed="false">
      <c r="A649" s="0" t="str">
        <f aca="false">IF(Consolidated!B652="","",Consolidated!B652&amp;"|"&amp;TEXT(Consolidated!C652,"yyyymmdd")&amp;"|"&amp;HOUR(Consolidated!D652))</f>
        <v>Repo|20260724|12</v>
      </c>
      <c r="B649" s="0" t="str">
        <f aca="false">IF(Consolidated!B652="","",SUBSTITUTE(SUBSTITUTE(TEXT(Consolidated!D652,"h:mm AM/PM")," AM","a")," PM","p")&amp;IF(Consolidated!E652="",""," "&amp;Consolidated!E652)&amp;IF(Consolidated!H652="",""," "&amp;Consolidated!H652))</f>
        <v>12:00p RP</v>
      </c>
      <c r="C649" s="0" t="str">
        <f aca="false">IF(Consolidated!B652="","",Consolidated!B652&amp;"|"&amp;TEXT(Consolidated!C652,"yyyymmdd"))</f>
        <v>Repo|20260724</v>
      </c>
      <c r="D649" s="0" t="str">
        <f aca="false">IF(Consolidated!I652="","",Consolidated!I652)</f>
        <v/>
      </c>
    </row>
    <row r="650" customFormat="false" ht="15" hidden="false" customHeight="false" outlineLevel="0" collapsed="false">
      <c r="A650" s="0" t="str">
        <f aca="false">IF(Consolidated!B653="","",Consolidated!B653&amp;"|"&amp;TEXT(Consolidated!C653,"yyyymmdd")&amp;"|"&amp;HOUR(Consolidated!D653))</f>
        <v>Repo|20260724|14</v>
      </c>
      <c r="B650" s="0" t="str">
        <f aca="false">IF(Consolidated!B653="","",SUBSTITUTE(SUBSTITUTE(TEXT(Consolidated!D653,"h:mm AM/PM")," AM","a")," PM","p")&amp;IF(Consolidated!E653="",""," "&amp;Consolidated!E653)&amp;IF(Consolidated!H653="",""," "&amp;Consolidated!H653))</f>
        <v>2:00p Repo</v>
      </c>
      <c r="C650" s="0" t="str">
        <f aca="false">IF(Consolidated!B653="","",Consolidated!B653&amp;"|"&amp;TEXT(Consolidated!C653,"yyyymmdd"))</f>
        <v>Repo|20260724</v>
      </c>
      <c r="D650" s="0" t="str">
        <f aca="false">IF(Consolidated!I653="","",Consolidated!I653)</f>
        <v/>
      </c>
    </row>
    <row r="651" customFormat="false" ht="15" hidden="false" customHeight="false" outlineLevel="0" collapsed="false">
      <c r="A651" s="0" t="str">
        <f aca="false">IF(Consolidated!B654="","",Consolidated!B654&amp;"|"&amp;TEXT(Consolidated!C654,"yyyymmdd")&amp;"|"&amp;HOUR(Consolidated!D654))</f>
        <v>ARC|20260725|11</v>
      </c>
      <c r="B651" s="0" t="str">
        <f aca="false">IF(Consolidated!B654="","",SUBSTITUTE(SUBSTITUTE(TEXT(Consolidated!D654,"h:mm AM/PM")," AM","a")," PM","p")&amp;IF(Consolidated!E654="",""," "&amp;Consolidated!E654)&amp;IF(Consolidated!H654="",""," "&amp;Consolidated!H654))</f>
        <v>11:00a NCs</v>
      </c>
      <c r="C651" s="0" t="str">
        <f aca="false">IF(Consolidated!B654="","",Consolidated!B654&amp;"|"&amp;TEXT(Consolidated!C654,"yyyymmdd"))</f>
        <v>ARC|20260725</v>
      </c>
      <c r="D651" s="0" t="str">
        <f aca="false">IF(Consolidated!I654="","",Consolidated!I654)</f>
        <v>Broken Promise / Recent Pay / Dialer Only</v>
      </c>
    </row>
    <row r="652" customFormat="false" ht="15" hidden="false" customHeight="false" outlineLevel="0" collapsed="false">
      <c r="A652" s="0" t="str">
        <f aca="false">IF(Consolidated!B655="","",Consolidated!B655&amp;"|"&amp;TEXT(Consolidated!C655,"yyyymmdd")&amp;"|"&amp;HOUR(Consolidated!D655))</f>
        <v>Auto|20260725|10</v>
      </c>
      <c r="B652" s="0" t="str">
        <f aca="false">IF(Consolidated!B655="","",SUBSTITUTE(SUBSTITUTE(TEXT(Consolidated!D655,"h:mm AM/PM")," AM","a")," PM","p")&amp;IF(Consolidated!E655="",""," "&amp;Consolidated!E655)&amp;IF(Consolidated!H655="",""," "&amp;Consolidated!H655))</f>
        <v>10:00a Blitz</v>
      </c>
      <c r="C652" s="0" t="str">
        <f aca="false">IF(Consolidated!B655="","",Consolidated!B655&amp;"|"&amp;TEXT(Consolidated!C655,"yyyymmdd"))</f>
        <v>Auto|20260725</v>
      </c>
      <c r="D652" s="0" t="str">
        <f aca="false">IF(Consolidated!I655="","",Consolidated!I655)</f>
        <v/>
      </c>
    </row>
    <row r="653" customFormat="false" ht="15" hidden="false" customHeight="false" outlineLevel="0" collapsed="false">
      <c r="A653" s="0" t="str">
        <f aca="false">IF(Consolidated!B656="","",Consolidated!B656&amp;"|"&amp;TEXT(Consolidated!C656,"yyyymmdd")&amp;"|"&amp;HOUR(Consolidated!D656))</f>
        <v>Auto|20260725|16</v>
      </c>
      <c r="B653" s="0" t="str">
        <f aca="false">IF(Consolidated!B656="","",SUBSTITUTE(SUBSTITUTE(TEXT(Consolidated!D656,"h:mm AM/PM")," AM","a")," PM","p")&amp;IF(Consolidated!E656="",""," "&amp;Consolidated!E656)&amp;IF(Consolidated!H656="",""," "&amp;Consolidated!H656))</f>
        <v>4:00p Blitz</v>
      </c>
      <c r="C653" s="0" t="str">
        <f aca="false">IF(Consolidated!B656="","",Consolidated!B656&amp;"|"&amp;TEXT(Consolidated!C656,"yyyymmdd"))</f>
        <v>Auto|20260725</v>
      </c>
      <c r="D653" s="0" t="str">
        <f aca="false">IF(Consolidated!I656="","",Consolidated!I656)</f>
        <v/>
      </c>
    </row>
    <row r="654" customFormat="false" ht="15" hidden="false" customHeight="false" outlineLevel="0" collapsed="false">
      <c r="A654" s="0" t="str">
        <f aca="false">IF(Consolidated!B657="","",Consolidated!B657&amp;"|"&amp;TEXT(Consolidated!C657,"yyyymmdd")&amp;"|"&amp;HOUR(Consolidated!D657))</f>
        <v>BE|20260725|10</v>
      </c>
      <c r="B654" s="0" t="str">
        <f aca="false">IF(Consolidated!B657="","",SUBSTITUTE(SUBSTITUTE(TEXT(Consolidated!D657,"h:mm AM/PM")," AM","a")," PM","p")&amp;IF(Consolidated!E657="",""," "&amp;Consolidated!E657)&amp;IF(Consolidated!H657="",""," "&amp;Consolidated!H657))</f>
        <v>10:00a Blitz</v>
      </c>
      <c r="C654" s="0" t="str">
        <f aca="false">IF(Consolidated!B657="","",Consolidated!B657&amp;"|"&amp;TEXT(Consolidated!C657,"yyyymmdd"))</f>
        <v>BE|20260725</v>
      </c>
      <c r="D654" s="0" t="str">
        <f aca="false">IF(Consolidated!I657="","",Consolidated!I657)</f>
        <v/>
      </c>
    </row>
    <row r="655" customFormat="false" ht="15" hidden="false" customHeight="false" outlineLevel="0" collapsed="false">
      <c r="A655" s="0" t="str">
        <f aca="false">IF(Consolidated!B658="","",Consolidated!B658&amp;"|"&amp;TEXT(Consolidated!C658,"yyyymmdd")&amp;"|"&amp;HOUR(Consolidated!D658))</f>
        <v>Branch Vendor|20260725|10</v>
      </c>
      <c r="B655" s="0" t="str">
        <f aca="false">IF(Consolidated!B658="","",SUBSTITUTE(SUBSTITUTE(TEXT(Consolidated!D658,"h:mm AM/PM")," AM","a")," PM","p")&amp;IF(Consolidated!E658="",""," "&amp;Consolidated!E658)&amp;IF(Consolidated!H658="",""," "&amp;Consolidated!H658))</f>
        <v>10:00a Vendor</v>
      </c>
      <c r="C655" s="0" t="str">
        <f aca="false">IF(Consolidated!B658="","",Consolidated!B658&amp;"|"&amp;TEXT(Consolidated!C658,"yyyymmdd"))</f>
        <v>Branch Vendor|20260725</v>
      </c>
      <c r="D655" s="0" t="str">
        <f aca="false">IF(Consolidated!I658="","",Consolidated!I658)</f>
        <v/>
      </c>
    </row>
    <row r="656" customFormat="false" ht="15" hidden="false" customHeight="false" outlineLevel="0" collapsed="false">
      <c r="A656" s="0" t="str">
        <f aca="false">IF(Consolidated!B659="","",Consolidated!B659&amp;"|"&amp;TEXT(Consolidated!C659,"yyyymmdd")&amp;"|"&amp;HOUR(Consolidated!D659))</f>
        <v>FE|20260725|10</v>
      </c>
      <c r="B656" s="0" t="str">
        <f aca="false">IF(Consolidated!B659="","",SUBSTITUTE(SUBSTITUTE(TEXT(Consolidated!D659,"h:mm AM/PM")," AM","a")," PM","p")&amp;IF(Consolidated!E659="",""," "&amp;Consolidated!E659)&amp;IF(Consolidated!H659="",""," "&amp;Consolidated!H659))</f>
        <v>10:00a Blitz</v>
      </c>
      <c r="C656" s="0" t="str">
        <f aca="false">IF(Consolidated!B659="","",Consolidated!B659&amp;"|"&amp;TEXT(Consolidated!C659,"yyyymmdd"))</f>
        <v>FE|20260725</v>
      </c>
      <c r="D656" s="0" t="str">
        <f aca="false">IF(Consolidated!I659="","",Consolidated!I659)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2026-07-17T20:23:47Z</dcterms:created>
  <dc:creator>openpyxl</dc:creator>
  <dc:description/>
  <dc:language>en-US</dc:language>
  <cp:lastModifiedBy/>
  <dcterms:modified xsi:type="dcterms:W3CDTF">2026-07-17T20:23:49Z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